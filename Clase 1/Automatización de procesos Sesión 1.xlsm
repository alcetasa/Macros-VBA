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CAPACITACIONES\2023\EXCEL\Macros y Vba\Clase 2\"/>
    </mc:Choice>
  </mc:AlternateContent>
  <xr:revisionPtr revIDLastSave="0" documentId="13_ncr:1_{999DF8CC-0903-40E3-9CF9-B28C7454A54C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Planilla" sheetId="2" r:id="rId1"/>
    <sheet name="Pensión" sheetId="4" r:id="rId2"/>
    <sheet name="Resumen" sheetId="6" r:id="rId3"/>
    <sheet name="Hoja1" sheetId="5" r:id="rId4"/>
    <sheet name="Referencias" sheetId="9" r:id="rId5"/>
    <sheet name="Hoja3" sheetId="8" state="hidden" r:id="rId6"/>
  </sheets>
  <definedNames>
    <definedName name="_xlnm._FilterDatabase" localSheetId="0" hidden="1">Planilla!$A$1:$N$451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7" i="9" l="1"/>
  <c r="C7" i="9"/>
  <c r="E4" i="9"/>
  <c r="C3" i="9"/>
  <c r="K2" i="2"/>
  <c r="D3" i="9"/>
  <c r="F4" i="9"/>
  <c r="L2" i="2" l="1"/>
  <c r="A15" i="2"/>
  <c r="A31" i="2"/>
  <c r="A32" i="2"/>
  <c r="A33" i="2"/>
  <c r="A34" i="2"/>
  <c r="A16" i="2"/>
  <c r="A17" i="2"/>
  <c r="A2" i="2"/>
  <c r="A35" i="2"/>
  <c r="A450" i="2"/>
  <c r="A3" i="2"/>
  <c r="A18" i="2"/>
  <c r="A36" i="2"/>
  <c r="A19" i="2"/>
  <c r="A37" i="2"/>
  <c r="A4" i="2"/>
  <c r="A38" i="2"/>
  <c r="A451" i="2"/>
  <c r="A27" i="2"/>
  <c r="A5" i="2"/>
  <c r="A134" i="2"/>
  <c r="A135" i="2"/>
  <c r="A136" i="2"/>
  <c r="A137" i="2"/>
  <c r="A28" i="2"/>
  <c r="A6" i="2"/>
  <c r="A29" i="2"/>
  <c r="A7" i="2"/>
  <c r="A8" i="2"/>
  <c r="A138" i="2"/>
  <c r="A256" i="2"/>
  <c r="A257" i="2"/>
  <c r="A139" i="2"/>
  <c r="A30" i="2"/>
  <c r="A9" i="2"/>
  <c r="A10" i="2"/>
  <c r="A140" i="2"/>
  <c r="A11" i="2"/>
  <c r="A141" i="2"/>
  <c r="A142" i="2"/>
  <c r="A143" i="2"/>
  <c r="A12" i="2"/>
  <c r="A13" i="2"/>
  <c r="A258" i="2"/>
  <c r="A263" i="2"/>
  <c r="A39" i="2"/>
  <c r="A40" i="2"/>
  <c r="A264" i="2"/>
  <c r="A207" i="2"/>
  <c r="A208" i="2"/>
  <c r="A41" i="2"/>
  <c r="A42" i="2"/>
  <c r="A431" i="2"/>
  <c r="A425" i="2"/>
  <c r="A43" i="2"/>
  <c r="A209" i="2"/>
  <c r="A210" i="2"/>
  <c r="A44" i="2"/>
  <c r="A45" i="2"/>
  <c r="A46" i="2"/>
  <c r="A47" i="2"/>
  <c r="A426" i="2"/>
  <c r="A259" i="2"/>
  <c r="A48" i="2"/>
  <c r="A211" i="2"/>
  <c r="A265" i="2"/>
  <c r="A427" i="2"/>
  <c r="A49" i="2"/>
  <c r="A50" i="2"/>
  <c r="A266" i="2"/>
  <c r="A212" i="2"/>
  <c r="A51" i="2"/>
  <c r="A428" i="2"/>
  <c r="A429" i="2"/>
  <c r="A213" i="2"/>
  <c r="A214" i="2"/>
  <c r="A52" i="2"/>
  <c r="A430" i="2"/>
  <c r="A53" i="2"/>
  <c r="A54" i="2"/>
  <c r="A267" i="2"/>
  <c r="A260" i="2"/>
  <c r="A432" i="2"/>
  <c r="A215" i="2"/>
  <c r="A216" i="2"/>
  <c r="A268" i="2"/>
  <c r="A269" i="2"/>
  <c r="A55" i="2"/>
  <c r="A433" i="2"/>
  <c r="A270" i="2"/>
  <c r="A56" i="2"/>
  <c r="A57" i="2"/>
  <c r="A434" i="2"/>
  <c r="A271" i="2"/>
  <c r="A58" i="2"/>
  <c r="A59" i="2"/>
  <c r="A272" i="2"/>
  <c r="A60" i="2"/>
  <c r="A435" i="2"/>
  <c r="A292" i="2"/>
  <c r="A273" i="2"/>
  <c r="A274" i="2"/>
  <c r="A338" i="2"/>
  <c r="A217" i="2"/>
  <c r="A400" i="2"/>
  <c r="A24" i="2"/>
  <c r="A235" i="2"/>
  <c r="A20" i="2"/>
  <c r="A401" i="2"/>
  <c r="A187" i="2"/>
  <c r="A339" i="2"/>
  <c r="A340" i="2"/>
  <c r="A341" i="2"/>
  <c r="A231" i="2"/>
  <c r="A166" i="2"/>
  <c r="A436" i="2"/>
  <c r="A342" i="2"/>
  <c r="A316" i="2"/>
  <c r="A402" i="2"/>
  <c r="A111" i="2"/>
  <c r="A403" i="2"/>
  <c r="A317" i="2"/>
  <c r="A218" i="2"/>
  <c r="A112" i="2"/>
  <c r="A113" i="2"/>
  <c r="A229" i="2"/>
  <c r="A73" i="2"/>
  <c r="A343" i="2"/>
  <c r="A85" i="2"/>
  <c r="A232" i="2"/>
  <c r="A21" i="2"/>
  <c r="A86" i="2"/>
  <c r="A61" i="2"/>
  <c r="A293" i="2"/>
  <c r="A204" i="2"/>
  <c r="A87" i="2"/>
  <c r="A146" i="2"/>
  <c r="A318" i="2"/>
  <c r="A404" i="2"/>
  <c r="A74" i="2"/>
  <c r="A294" i="2"/>
  <c r="A156" i="2"/>
  <c r="A147" i="2"/>
  <c r="A233" i="2"/>
  <c r="A148" i="2"/>
  <c r="A405" i="2"/>
  <c r="A406" i="2"/>
  <c r="A167" i="2"/>
  <c r="A407" i="2"/>
  <c r="A114" i="2"/>
  <c r="A75" i="2"/>
  <c r="A168" i="2"/>
  <c r="A344" i="2"/>
  <c r="A437" i="2"/>
  <c r="A345" i="2"/>
  <c r="A346" i="2"/>
  <c r="A242" i="2"/>
  <c r="A295" i="2"/>
  <c r="A275" i="2"/>
  <c r="A347" i="2"/>
  <c r="A319" i="2"/>
  <c r="A88" i="2"/>
  <c r="A243" i="2"/>
  <c r="A244" i="2"/>
  <c r="A115" i="2"/>
  <c r="A25" i="2"/>
  <c r="A169" i="2"/>
  <c r="A296" i="2"/>
  <c r="A348" i="2"/>
  <c r="A157" i="2"/>
  <c r="A62" i="2"/>
  <c r="A236" i="2"/>
  <c r="A349" i="2"/>
  <c r="A284" i="2"/>
  <c r="A22" i="2"/>
  <c r="A89" i="2"/>
  <c r="A219" i="2"/>
  <c r="A170" i="2"/>
  <c r="A171" i="2"/>
  <c r="A350" i="2"/>
  <c r="A172" i="2"/>
  <c r="A63" i="2"/>
  <c r="A351" i="2"/>
  <c r="A23" i="2"/>
  <c r="A237" i="2"/>
  <c r="A352" i="2"/>
  <c r="A438" i="2"/>
  <c r="A353" i="2"/>
  <c r="A297" i="2"/>
  <c r="A354" i="2"/>
  <c r="A298" i="2"/>
  <c r="A355" i="2"/>
  <c r="A276" i="2"/>
  <c r="A356" i="2"/>
  <c r="A299" i="2"/>
  <c r="A320" i="2"/>
  <c r="A357" i="2"/>
  <c r="A158" i="2"/>
  <c r="A90" i="2"/>
  <c r="A408" i="2"/>
  <c r="A159" i="2"/>
  <c r="A358" i="2"/>
  <c r="A91" i="2"/>
  <c r="A149" i="2"/>
  <c r="A64" i="2"/>
  <c r="A439" i="2"/>
  <c r="A238" i="2"/>
  <c r="A83" i="2"/>
  <c r="A116" i="2"/>
  <c r="A173" i="2"/>
  <c r="A359" i="2"/>
  <c r="A360" i="2"/>
  <c r="A361" i="2"/>
  <c r="A362" i="2"/>
  <c r="A239" i="2"/>
  <c r="A92" i="2"/>
  <c r="A93" i="2"/>
  <c r="A363" i="2"/>
  <c r="A364" i="2"/>
  <c r="A321" i="2"/>
  <c r="A144" i="2"/>
  <c r="A117" i="2"/>
  <c r="A76" i="2"/>
  <c r="A160" i="2"/>
  <c r="A94" i="2"/>
  <c r="A95" i="2"/>
  <c r="A365" i="2"/>
  <c r="A409" i="2"/>
  <c r="A96" i="2"/>
  <c r="A245" i="2"/>
  <c r="A150" i="2"/>
  <c r="A174" i="2"/>
  <c r="A366" i="2"/>
  <c r="A367" i="2"/>
  <c r="A368" i="2"/>
  <c r="A77" i="2"/>
  <c r="A97" i="2"/>
  <c r="A285" i="2"/>
  <c r="A322" i="2"/>
  <c r="A175" i="2"/>
  <c r="A323" i="2"/>
  <c r="A118" i="2"/>
  <c r="A78" i="2"/>
  <c r="A240" i="2"/>
  <c r="A119" i="2"/>
  <c r="A300" i="2"/>
  <c r="A176" i="2"/>
  <c r="A286" i="2"/>
  <c r="A369" i="2"/>
  <c r="A65" i="2"/>
  <c r="A151" i="2"/>
  <c r="A324" i="2"/>
  <c r="A66" i="2"/>
  <c r="A445" i="2"/>
  <c r="A370" i="2"/>
  <c r="A440" i="2"/>
  <c r="A371" i="2"/>
  <c r="A161" i="2"/>
  <c r="A120" i="2"/>
  <c r="A121" i="2"/>
  <c r="A67" i="2"/>
  <c r="A441" i="2"/>
  <c r="A230" i="2"/>
  <c r="A152" i="2"/>
  <c r="A122" i="2"/>
  <c r="A287" i="2"/>
  <c r="A372" i="2"/>
  <c r="A98" i="2"/>
  <c r="A410" i="2"/>
  <c r="A411" i="2"/>
  <c r="A373" i="2"/>
  <c r="A99" i="2"/>
  <c r="A100" i="2"/>
  <c r="A220" i="2"/>
  <c r="A84" i="2"/>
  <c r="A221" i="2"/>
  <c r="A177" i="2"/>
  <c r="A178" i="2"/>
  <c r="A277" i="2"/>
  <c r="A179" i="2"/>
  <c r="A79" i="2"/>
  <c r="A123" i="2"/>
  <c r="A124" i="2"/>
  <c r="A325" i="2"/>
  <c r="A101" i="2"/>
  <c r="A180" i="2"/>
  <c r="A145" i="2"/>
  <c r="A374" i="2"/>
  <c r="A375" i="2"/>
  <c r="A246" i="2"/>
  <c r="A181" i="2"/>
  <c r="A278" i="2"/>
  <c r="A102" i="2"/>
  <c r="A103" i="2"/>
  <c r="A153" i="2"/>
  <c r="A301" i="2"/>
  <c r="A412" i="2"/>
  <c r="A182" i="2"/>
  <c r="A326" i="2"/>
  <c r="A205" i="2"/>
  <c r="A327" i="2"/>
  <c r="A413" i="2"/>
  <c r="A222" i="2"/>
  <c r="A68" i="2"/>
  <c r="A414" i="2"/>
  <c r="A415" i="2"/>
  <c r="A154" i="2"/>
  <c r="A125" i="2"/>
  <c r="A206" i="2"/>
  <c r="A126" i="2"/>
  <c r="A302" i="2"/>
  <c r="A127" i="2"/>
  <c r="A69" i="2"/>
  <c r="A155" i="2"/>
  <c r="A104" i="2"/>
  <c r="A328" i="2"/>
  <c r="A105" i="2"/>
  <c r="A288" i="2"/>
  <c r="A289" i="2"/>
  <c r="A128" i="2"/>
  <c r="A376" i="2"/>
  <c r="A377" i="2"/>
  <c r="A80" i="2"/>
  <c r="A416" i="2"/>
  <c r="A281" i="2"/>
  <c r="A183" i="2"/>
  <c r="A184" i="2"/>
  <c r="A106" i="2"/>
  <c r="A378" i="2"/>
  <c r="A303" i="2"/>
  <c r="A247" i="2"/>
  <c r="A379" i="2"/>
  <c r="A304" i="2"/>
  <c r="A329" i="2"/>
  <c r="A248" i="2"/>
  <c r="A249" i="2"/>
  <c r="A107" i="2"/>
  <c r="A305" i="2"/>
  <c r="A380" i="2"/>
  <c r="A306" i="2"/>
  <c r="A381" i="2"/>
  <c r="A185" i="2"/>
  <c r="A442" i="2"/>
  <c r="A241" i="2"/>
  <c r="A282" i="2"/>
  <c r="A417" i="2"/>
  <c r="A186" i="2"/>
  <c r="A188" i="2"/>
  <c r="A223" i="2"/>
  <c r="A283" i="2"/>
  <c r="A250" i="2"/>
  <c r="A382" i="2"/>
  <c r="A251" i="2"/>
  <c r="A224" i="2"/>
  <c r="A330" i="2"/>
  <c r="A189" i="2"/>
  <c r="A108" i="2"/>
  <c r="A129" i="2"/>
  <c r="A307" i="2"/>
  <c r="A331" i="2"/>
  <c r="A418" i="2"/>
  <c r="A383" i="2"/>
  <c r="A190" i="2"/>
  <c r="A308" i="2"/>
  <c r="A309" i="2"/>
  <c r="A70" i="2"/>
  <c r="A446" i="2"/>
  <c r="A191" i="2"/>
  <c r="A384" i="2"/>
  <c r="A192" i="2"/>
  <c r="A419" i="2"/>
  <c r="A290" i="2"/>
  <c r="A385" i="2"/>
  <c r="A71" i="2"/>
  <c r="A443" i="2"/>
  <c r="A193" i="2"/>
  <c r="A420" i="2"/>
  <c r="A81" i="2"/>
  <c r="A109" i="2"/>
  <c r="A252" i="2"/>
  <c r="A386" i="2"/>
  <c r="A387" i="2"/>
  <c r="A388" i="2"/>
  <c r="A194" i="2"/>
  <c r="A389" i="2"/>
  <c r="A332" i="2"/>
  <c r="A130" i="2"/>
  <c r="A444" i="2"/>
  <c r="A310" i="2"/>
  <c r="A447" i="2"/>
  <c r="A421" i="2"/>
  <c r="A162" i="2"/>
  <c r="A253" i="2"/>
  <c r="A195" i="2"/>
  <c r="A311" i="2"/>
  <c r="A254" i="2"/>
  <c r="A82" i="2"/>
  <c r="A390" i="2"/>
  <c r="A333" i="2"/>
  <c r="A422" i="2"/>
  <c r="A291" i="2"/>
  <c r="A448" i="2"/>
  <c r="A196" i="2"/>
  <c r="A197" i="2"/>
  <c r="A26" i="2"/>
  <c r="A228" i="2"/>
  <c r="A255" i="2"/>
  <c r="A225" i="2"/>
  <c r="A391" i="2"/>
  <c r="A312" i="2"/>
  <c r="A198" i="2"/>
  <c r="A392" i="2"/>
  <c r="A393" i="2"/>
  <c r="A394" i="2"/>
  <c r="A234" i="2"/>
  <c r="A313" i="2"/>
  <c r="A395" i="2"/>
  <c r="A163" i="2"/>
  <c r="A449" i="2"/>
  <c r="A131" i="2"/>
  <c r="A334" i="2"/>
  <c r="A199" i="2"/>
  <c r="A279" i="2"/>
  <c r="A396" i="2"/>
  <c r="A335" i="2"/>
  <c r="A314" i="2"/>
  <c r="A110" i="2"/>
  <c r="A200" i="2"/>
  <c r="A315" i="2"/>
  <c r="A201" i="2"/>
  <c r="A226" i="2"/>
  <c r="A397" i="2"/>
  <c r="A164" i="2"/>
  <c r="A423" i="2"/>
  <c r="A132" i="2"/>
  <c r="A261" i="2"/>
  <c r="A165" i="2"/>
  <c r="A398" i="2"/>
  <c r="A262" i="2"/>
  <c r="A227" i="2"/>
  <c r="A133" i="2"/>
  <c r="A336" i="2"/>
  <c r="A424" i="2"/>
  <c r="A72" i="2"/>
  <c r="A399" i="2"/>
  <c r="A280" i="2"/>
  <c r="A202" i="2"/>
  <c r="A337" i="2"/>
  <c r="A203" i="2"/>
  <c r="A14" i="2"/>
  <c r="E7" i="4" l="1"/>
  <c r="M2" i="2" s="1"/>
  <c r="N2" i="2" s="1"/>
  <c r="E6" i="4"/>
  <c r="E5" i="4"/>
  <c r="E4" i="4"/>
</calcChain>
</file>

<file path=xl/sharedStrings.xml><?xml version="1.0" encoding="utf-8"?>
<sst xmlns="http://schemas.openxmlformats.org/spreadsheetml/2006/main" count="4366" uniqueCount="837">
  <si>
    <t>Total</t>
  </si>
  <si>
    <t>CÓDIGO</t>
  </si>
  <si>
    <t>APELLIDOS Y NOMBRES</t>
  </si>
  <si>
    <t>SUELDO BÁSICO</t>
  </si>
  <si>
    <t>ASIGNACIÓN FAMILIAR</t>
  </si>
  <si>
    <t>ARMAS ARELLANO, ALEX ANSELMO</t>
  </si>
  <si>
    <t>ARMAS HUAMAN, SATURNINO MARCELO</t>
  </si>
  <si>
    <t>ARMAS VILLARREAL, WILMER RICARDO</t>
  </si>
  <si>
    <t>ARRIETA ESPINOZA, EDU SERAPIO</t>
  </si>
  <si>
    <t>CARBAJAL ROBLES, MILTON ARMANDO</t>
  </si>
  <si>
    <t>CARMONA RAMIREZ, MIGUEL ROLANDO</t>
  </si>
  <si>
    <t>COAQUIRA CAPCHA, ROCCIO MARITZA</t>
  </si>
  <si>
    <t>CORZO URCUHUARANGA, MARIA</t>
  </si>
  <si>
    <t>ESPINOZA YARASCA, NICOLAS SAMUEL</t>
  </si>
  <si>
    <t>GUERRERO PEÑA, ALEJANDRO RUBEN</t>
  </si>
  <si>
    <t>OLIVARES GABRIEL, JOSE ALBERTO</t>
  </si>
  <si>
    <t>ORIZANO ROMERO, NERY GABRIELA</t>
  </si>
  <si>
    <t>RIVERA TORRES, KARINA</t>
  </si>
  <si>
    <t>ALVA RIOS, HILDA CECILIA</t>
  </si>
  <si>
    <t>ARANGURI PARIAN, CARLOS RICARDO</t>
  </si>
  <si>
    <t>BARJA ALCANTARA, JOHNNY ALBERTO</t>
  </si>
  <si>
    <t>CORDOVA GUERE, GERARDO JESUS</t>
  </si>
  <si>
    <t>DOMINGUEZ CHOCCELAHUA, MARCELINO NEIL</t>
  </si>
  <si>
    <t>ESTRADA VALLE, REYNALDO GILBERTO</t>
  </si>
  <si>
    <t>GUTIERREZ COSME, LUIS CESAR</t>
  </si>
  <si>
    <t>HONORIO PALACIOS, ANIBAL RAUL</t>
  </si>
  <si>
    <t>ISIDRO CHONTAY, DANTE OMAR</t>
  </si>
  <si>
    <t>LEON DEUDOR, ABEL ADELMO</t>
  </si>
  <si>
    <t>MARTINEZ CONTRERAS, RUTH NOEMI</t>
  </si>
  <si>
    <t>MEZA TRINIDAD, LEONARDO ENRIQUE</t>
  </si>
  <si>
    <t>NOLASCO RAVICHAGUA, WILDER JUAN</t>
  </si>
  <si>
    <t>ORIZANO DELGADO, ANASTACIO MANUEL</t>
  </si>
  <si>
    <t>PALACIOS CANTARO, ANGEL MARCOS</t>
  </si>
  <si>
    <t>RAMIREZ MEDINA, JOSE ALBERTO</t>
  </si>
  <si>
    <t>ROJAS ASTO, VICTOR FIDEL</t>
  </si>
  <si>
    <t>ATACHAGUA RIVERA, CESAR RAUL</t>
  </si>
  <si>
    <t>BARZOLA BARONA, PAUL ALCIDES</t>
  </si>
  <si>
    <t>BENITO ICHO, ALDO EDGAR</t>
  </si>
  <si>
    <t>BENITO VILCA, CARLOS PACO</t>
  </si>
  <si>
    <t>CARHUAMANTA ATANACIO, JAIME SABU</t>
  </si>
  <si>
    <t>CHAVEZ ZEVALLOS, JHONNY MARTIN</t>
  </si>
  <si>
    <t>CIERTO TICLLACURI, JOSE ALFONSO</t>
  </si>
  <si>
    <t>CIPRIANO CAMPOS, HENRY BELISARIO</t>
  </si>
  <si>
    <t>DE LA ROSA NIETO, LUIS ALBERTO</t>
  </si>
  <si>
    <t>ELIAS MANTARI, JAVIER JESUS</t>
  </si>
  <si>
    <t>FIERRO VIDAL, FREDY ALEXANDER</t>
  </si>
  <si>
    <t>FLORES NAVARRO, HUGO MAXIMO</t>
  </si>
  <si>
    <t>GARAY SOTO, JUAN JORGE</t>
  </si>
  <si>
    <t>GORA BALDEON, JORGE SERGIO</t>
  </si>
  <si>
    <t>GOYZUETA GARCIA, DIAEL VIRGILIO</t>
  </si>
  <si>
    <t>HERRERA CONTRERAS, DAVID ALBINO</t>
  </si>
  <si>
    <t>HUAMAN MIRANDA, SEBASTIAN MANUEL</t>
  </si>
  <si>
    <t>HUATUCO ANDRADE, GEVELIN KRUGER</t>
  </si>
  <si>
    <t>HURTADO HUAMAN, ERWIN DENIS</t>
  </si>
  <si>
    <t>JIMENEZ BERROSPI, JULIO DAVID</t>
  </si>
  <si>
    <t>LAZARO HUAMAN, PERCY ANDRIREY</t>
  </si>
  <si>
    <t>MARTINEZ HUANUQUEÑO, LUIS GUILLERMO</t>
  </si>
  <si>
    <t>MENDOZA COLLACHAGUA, JORGE PERSI</t>
  </si>
  <si>
    <t>NUÑEZ LUQUE, MANUEL WILSON</t>
  </si>
  <si>
    <t>ORIHUELA RIVERA, ROLANDO ANTONIO</t>
  </si>
  <si>
    <t>PAREDES SOLORZANO, ABRAHAM ALEJANDRO</t>
  </si>
  <si>
    <t>PICOY MEZA, DENIS MANUEL</t>
  </si>
  <si>
    <t>PORRAS HILARIO, JUAN RICHARD</t>
  </si>
  <si>
    <t>QUINTO ZANABRIA, ELTHON PAUL</t>
  </si>
  <si>
    <t>QUIÑONES HUANCA, EUTROPIO RAUL</t>
  </si>
  <si>
    <t>ROJAS ANCO, GEVER REY</t>
  </si>
  <si>
    <t>ROMERO HUAMAN, LUIS DAVID</t>
  </si>
  <si>
    <t>RUIZ ARZAPALO, HECTOR LUIS</t>
  </si>
  <si>
    <t>ABAL BUENDIA, ANGEL ALFREDO</t>
  </si>
  <si>
    <t>AGUILAR CHAHUARA, TEOFILO HUGO</t>
  </si>
  <si>
    <t>AGUILAR FERNANDEZ, VICTOR PERCY</t>
  </si>
  <si>
    <t>AIRA HUALLPA, JUAN ANTONIO</t>
  </si>
  <si>
    <t>AIRA MENDIZABAL, JUAN PRESENTACION</t>
  </si>
  <si>
    <t>ALANYA REYNOSO, ENRIQUE EDUARDO</t>
  </si>
  <si>
    <t>ALCANTARA VIVANCO, CIPRIANO WILFREDO</t>
  </si>
  <si>
    <t>ALEGRE BALDEON, FELIPE MANOLO</t>
  </si>
  <si>
    <t>ALEJANDRO MATIAS, LUIS</t>
  </si>
  <si>
    <t>ALVAREZ ALMERCO, ELMER ANGEL</t>
  </si>
  <si>
    <t>ARANDA ROJAS, RUBEN NOLBERTO</t>
  </si>
  <si>
    <t>ARAUJO LOAYZA, RODOLFO YOBER</t>
  </si>
  <si>
    <t>ARENALES AIRALDI, CARLOS JOHN</t>
  </si>
  <si>
    <t>ARIAS AIRALDI, ALEXANDER WUBER</t>
  </si>
  <si>
    <t>ARMAS ALIANO, MACARIO VICTOR</t>
  </si>
  <si>
    <t>ARROYO RIVERA, FIDEL ANTONIO</t>
  </si>
  <si>
    <t>ASTO RIVERA, JULIO WALTER</t>
  </si>
  <si>
    <t>ATANACIO CASTILLO, CRISANTO CARLOS</t>
  </si>
  <si>
    <t>ATENCIO ESTRELLA, LIWESTON FAUSTINO</t>
  </si>
  <si>
    <t>AYALA PONCE, YONI HERNAN</t>
  </si>
  <si>
    <t>BARAHONA HUAMAN, RUBER EDDY</t>
  </si>
  <si>
    <t>LEY 19990 - ONP</t>
  </si>
  <si>
    <t>SPP PROFUTURO</t>
  </si>
  <si>
    <t>SPP INTEGRA</t>
  </si>
  <si>
    <t>SPP PRIMA</t>
  </si>
  <si>
    <t>REMUNERACIÓN BRUTA</t>
  </si>
  <si>
    <t>DESCUENTO PENSIÓN</t>
  </si>
  <si>
    <t>PENSIÓN</t>
  </si>
  <si>
    <t>REMUNERACIÓN NETA</t>
  </si>
  <si>
    <t>NRO. HIJOS</t>
  </si>
  <si>
    <t>ÁREA</t>
  </si>
  <si>
    <t>OPERACIONES</t>
  </si>
  <si>
    <t xml:space="preserve">ADMINISTRACION </t>
  </si>
  <si>
    <t>LOGISTICA</t>
  </si>
  <si>
    <t>MANTENIMIENTO</t>
  </si>
  <si>
    <t>PARAGSHA</t>
  </si>
  <si>
    <t>CHUNGAR</t>
  </si>
  <si>
    <t>HUARIPAMPA</t>
  </si>
  <si>
    <t>AFP</t>
  </si>
  <si>
    <t>Porcentaje de aporte obligatorio al Fondo de Pensiones</t>
  </si>
  <si>
    <t>Prima de Seguro</t>
  </si>
  <si>
    <t>Comisión Variable</t>
  </si>
  <si>
    <t>01/01/2002</t>
  </si>
  <si>
    <t>01/01/2003</t>
  </si>
  <si>
    <t>01/01/2005</t>
  </si>
  <si>
    <t>01/01/2009</t>
  </si>
  <si>
    <t>01/01/2007</t>
  </si>
  <si>
    <t>01/01/2010</t>
  </si>
  <si>
    <t>01/02/2010</t>
  </si>
  <si>
    <t>01/01/2011</t>
  </si>
  <si>
    <t>01/01/2012</t>
  </si>
  <si>
    <t>01/02/2005</t>
  </si>
  <si>
    <t>01/02/2007</t>
  </si>
  <si>
    <t>01/02/2008</t>
  </si>
  <si>
    <t>01/02/2009</t>
  </si>
  <si>
    <t>01/03/2005</t>
  </si>
  <si>
    <t>01/03/2007</t>
  </si>
  <si>
    <t>01/03/2009</t>
  </si>
  <si>
    <t>01/03/2010</t>
  </si>
  <si>
    <t>01/04/2004</t>
  </si>
  <si>
    <t>01/04/2007</t>
  </si>
  <si>
    <t>01/04/2009</t>
  </si>
  <si>
    <t>01/04/2010</t>
  </si>
  <si>
    <t>01/05/2004</t>
  </si>
  <si>
    <t>01/05/2007</t>
  </si>
  <si>
    <t>01/05/2008</t>
  </si>
  <si>
    <t>01/05/2009</t>
  </si>
  <si>
    <t>01/05/2010</t>
  </si>
  <si>
    <t>01/06/2006</t>
  </si>
  <si>
    <t>01/06/2007</t>
  </si>
  <si>
    <t>01/06/2008</t>
  </si>
  <si>
    <t>01/06/2009</t>
  </si>
  <si>
    <t>01/06/2010</t>
  </si>
  <si>
    <t>01/07/2001</t>
  </si>
  <si>
    <t>01/07/2008</t>
  </si>
  <si>
    <t>01/07/2009</t>
  </si>
  <si>
    <t>01/07/2010</t>
  </si>
  <si>
    <t>01/08/2000</t>
  </si>
  <si>
    <t>01/08/2003</t>
  </si>
  <si>
    <t>Masculino</t>
  </si>
  <si>
    <t>SUPERVISOR OPERACIONES</t>
  </si>
  <si>
    <t>OPERADOR DUMPER</t>
  </si>
  <si>
    <t>ANDAYCHAGUA</t>
  </si>
  <si>
    <t>OPERADOR CARGADOR FRONTAL</t>
  </si>
  <si>
    <t>OPERADOR SCOOP</t>
  </si>
  <si>
    <t>ELECTRICISTA DE MINA</t>
  </si>
  <si>
    <t>INSPECTOR DE SEGURIDAD</t>
  </si>
  <si>
    <t>PERFORISTA</t>
  </si>
  <si>
    <t>ASISTENTE DE RESIDENTE</t>
  </si>
  <si>
    <t>Femenino</t>
  </si>
  <si>
    <t>ASISTENTE ADMINISTRATIVO</t>
  </si>
  <si>
    <t>ASISTENTE DE COSTOS Y PRODUCTIVIDAD</t>
  </si>
  <si>
    <t>ASISTENTE LOGISTICA</t>
  </si>
  <si>
    <t>CHOFER CAMIONETA</t>
  </si>
  <si>
    <t>ALMACENERO</t>
  </si>
  <si>
    <t>INGENIERO GEOMECANICO</t>
  </si>
  <si>
    <t>AUXILIAR DE LIMPIEZA</t>
  </si>
  <si>
    <t>CHOFER CAMION</t>
  </si>
  <si>
    <t>MECANICO</t>
  </si>
  <si>
    <t>OPERADOR JUMBO</t>
  </si>
  <si>
    <t>AYUDANTE PERFORISTA</t>
  </si>
  <si>
    <t>BODEGUERO</t>
  </si>
  <si>
    <t>CAPATAZ DE GUARDIA</t>
  </si>
  <si>
    <t>BARDALES GRIJALVA, AMADOR NICANOR</t>
  </si>
  <si>
    <t>AUXILIAR MECANICO</t>
  </si>
  <si>
    <t>BASILIO ZEMBORAIN, GERARDO SIMON</t>
  </si>
  <si>
    <t>INGENIERO DE SEGURIDAD</t>
  </si>
  <si>
    <t>BAZAN MELO, MARCO JHONNY</t>
  </si>
  <si>
    <t>AYUDANTE CIMBRERO</t>
  </si>
  <si>
    <t>BAZAN ROJAS, JESUS JOSE</t>
  </si>
  <si>
    <t>BEAS ALCCAHUA, CARLOS</t>
  </si>
  <si>
    <t>INGENIERO RESIDENTE</t>
  </si>
  <si>
    <t>AYUDANTE JUMBO</t>
  </si>
  <si>
    <t>BERNA CASAICO, DANNY DAVID</t>
  </si>
  <si>
    <t>BERNARDO QUISPEALAYA, ANGEL JESUS</t>
  </si>
  <si>
    <t>AYUDANTE CARGADOR-DESATADOR</t>
  </si>
  <si>
    <t>BLAS SEGURA, MOISES ANTONIO</t>
  </si>
  <si>
    <t>CIMBRERO</t>
  </si>
  <si>
    <t>BRICEÑO AMARILLO, GUMERCINDO RUBEN</t>
  </si>
  <si>
    <t>BRICEÑO HUARICAPCHA, AMANCIO ALFREDO</t>
  </si>
  <si>
    <t>BUENDIA INGA, CIRO IRINEO</t>
  </si>
  <si>
    <t>BULLON AYALA, WILLIAM RUBEN</t>
  </si>
  <si>
    <t>BULLON LLIGUA, MANUEL AUGUSTO</t>
  </si>
  <si>
    <t>CARGADOR DESATADOR</t>
  </si>
  <si>
    <t>BULLON YNGAROCA, JAVIER RAUL</t>
  </si>
  <si>
    <t>JEFE DE LOGISTICA</t>
  </si>
  <si>
    <t>ELECTRICISTA</t>
  </si>
  <si>
    <t>CARHUAS MAXIMILIANO, PEDRO JESUS</t>
  </si>
  <si>
    <t>CARLOS NEIRA, RONALD MARINO</t>
  </si>
  <si>
    <t>ADMINISTRADOR</t>
  </si>
  <si>
    <t>JEFE DE GUARDIA</t>
  </si>
  <si>
    <t>CASTRO CRISTOBAL, ROLY WILDER</t>
  </si>
  <si>
    <t>CASTRO MANZANO, MICHAEL WILVER</t>
  </si>
  <si>
    <t>CCENTE ROBLES, DANIEL GONZALO</t>
  </si>
  <si>
    <t>CCOPE CAMPOS, RAUL OSWALDO</t>
  </si>
  <si>
    <t>CHANCO DAVILA, JAIME LUIS</t>
  </si>
  <si>
    <t>CHUMPITAZI LA CHIRA, RUBEN ENAN</t>
  </si>
  <si>
    <t>CIERTO MAGUIÑA, RALD CLAY</t>
  </si>
  <si>
    <t>SUPERVISOR MANTENIMIENTO</t>
  </si>
  <si>
    <t>COLLAZOS RIVAS, RODOLFO DAVID</t>
  </si>
  <si>
    <t>COLQUICHAGUA CALLUPE, ALBERTO CESAR</t>
  </si>
  <si>
    <t>CONDEZO LAZARO, JAVIER EFRAIN</t>
  </si>
  <si>
    <t>SOLDADOR</t>
  </si>
  <si>
    <t>CONDORI DAMIAN, JAIME DARIO</t>
  </si>
  <si>
    <t>CONDORI PATRICIO, JAIME ALFREDO</t>
  </si>
  <si>
    <t>CONDORI TICLLACURI, KOCO DOMENICA</t>
  </si>
  <si>
    <t>CONDORI YUPANQUI, VIDAL ROLANDO</t>
  </si>
  <si>
    <t>CORNELIO ONOFRE, PEPE HUGO</t>
  </si>
  <si>
    <t>OPERADOR DE MIXER - HURON</t>
  </si>
  <si>
    <t>CORONEL EGOAVIL, ELENA NORMA</t>
  </si>
  <si>
    <t>TRABAJADORA SOCIAL</t>
  </si>
  <si>
    <t>COZ ROJAS, FEDERICO JUSTO</t>
  </si>
  <si>
    <t>CRISOSTOMO ALEJANDRO, JAVIER ARTURO</t>
  </si>
  <si>
    <t>CRUZ DIAZ, HUGO ESPIRITU</t>
  </si>
  <si>
    <t>CUBA JIMENEZ, MIGUEL ELIAS</t>
  </si>
  <si>
    <t>CUBA PINTO, CIRILO MADELEINE</t>
  </si>
  <si>
    <t>CUENCA RATACHI, SILVIA GLADYS</t>
  </si>
  <si>
    <t>CURO RODRIGUEZ, ROSA GISEL</t>
  </si>
  <si>
    <t>CUTIPA UBALDO, MAURO CELESTINO</t>
  </si>
  <si>
    <t>DAGA ASTO, RAUL FREDY</t>
  </si>
  <si>
    <t>DE LA PIEDRA ALBINO, PERCY AMADEO</t>
  </si>
  <si>
    <t>DIAZ MATAMOROS, ERMIGIO CATSTEVENS</t>
  </si>
  <si>
    <t>DIAZ QUIROZ, BERNABE NILO</t>
  </si>
  <si>
    <t>DOMINGUEZ Y, FREDY ISAAC</t>
  </si>
  <si>
    <t>EGOAVIL QUINCHO, LINDOLFO GAUDIOSO</t>
  </si>
  <si>
    <t>ESCANDON YUCRA, EDWIN ROBERTO</t>
  </si>
  <si>
    <t>AYUDANTE DE ALPHA</t>
  </si>
  <si>
    <t>ESCOBAR SUDARIO, JESUS SEVERO</t>
  </si>
  <si>
    <t>ESPINOZA ATENCIO, PERCY YOCABETH</t>
  </si>
  <si>
    <t>ESPINOZA CASO, FRITZ LUIS</t>
  </si>
  <si>
    <t>ESPINOZA OLLERO, HENRRY DE DIOS</t>
  </si>
  <si>
    <t>ESPINOZA PALACIOS, JUAN PAVEL</t>
  </si>
  <si>
    <t>ESPINOZA ROSADO, PERCY JUAN</t>
  </si>
  <si>
    <t>ESPINOZA ROSAS, VIRGINIO EVER</t>
  </si>
  <si>
    <t>ESPIRITU CARHUARICRA, FELICIANO ROLANDO</t>
  </si>
  <si>
    <t>ESPIRITU TORRES, RUBDY GILMER</t>
  </si>
  <si>
    <t>FABIAN CANO, ALEXANDER ANTONIO</t>
  </si>
  <si>
    <t>FALCON CASTILLO, HUGO LUIS</t>
  </si>
  <si>
    <t>FARFAN LOARTE, HERMENES ANGEL</t>
  </si>
  <si>
    <t>FELIX MAURI, DANNY ROY</t>
  </si>
  <si>
    <t>JEFE DE MANTENIMIENTO</t>
  </si>
  <si>
    <t>FLORES PACO, JOSE AUGUSTO</t>
  </si>
  <si>
    <t>FLORES SAN MARTIN, MIGUEL JESUS</t>
  </si>
  <si>
    <t>GABRIEL JANAMPA, MAXIMO MISAJEL</t>
  </si>
  <si>
    <t>GALARZA VERA, JAVIER ERICK</t>
  </si>
  <si>
    <t>GARCIA LOPEZ, CLIVER WALTER</t>
  </si>
  <si>
    <t>GAVINO ROJAS, WILSON JOSUE</t>
  </si>
  <si>
    <t>BOMBERO</t>
  </si>
  <si>
    <t>GOMEZ CAHUANA, MARIO RAUL</t>
  </si>
  <si>
    <t>GOMEZ RAMOS, RAUL VICTOR</t>
  </si>
  <si>
    <t>GOMEZ VELASQUEZ, WALTER ALEXANDER</t>
  </si>
  <si>
    <t>GOÑE RICALDI, EDWIN WALTER</t>
  </si>
  <si>
    <t>GUADALUPE NUÑEZ, JULIO EDUARDO</t>
  </si>
  <si>
    <t>GUERREROS ZAMBRANO, EDHER MAURO</t>
  </si>
  <si>
    <t>GUILLEN FERNANDEZ, AMER PEDRO</t>
  </si>
  <si>
    <t>GUZMAN ASTO, ALVINO GINO</t>
  </si>
  <si>
    <t>GUZMAN ESPINOZA, APOLINARIO ROGER</t>
  </si>
  <si>
    <t>GUZMAN RAMOS, CARLOS GERMAN</t>
  </si>
  <si>
    <t>HANCCO SALGADO, SAMUEL RICARDO</t>
  </si>
  <si>
    <t>HERNANDEZ CARDENAS, RAUL SEGUNDINO</t>
  </si>
  <si>
    <t>HERRERA ASTO, JULIO HEINER</t>
  </si>
  <si>
    <t>HIDALGO ESPINOZA, EDGAR ISAAC</t>
  </si>
  <si>
    <t>HILARIO MENDOZA, VICTOR ALEX</t>
  </si>
  <si>
    <t>HINOSTROZA AGUILAR, LUZMIRINDA NOEMI</t>
  </si>
  <si>
    <t>HINOSTROZA MONTALVO, LUIS ADOLFO</t>
  </si>
  <si>
    <t>HINOSTROZA MONTALVO, MOISES CESAR</t>
  </si>
  <si>
    <t>HINOSTROZA TRINIDAD, FAUSTINO JAIME</t>
  </si>
  <si>
    <t>HUAIRA ZEVALLOS, DENIS DAVID</t>
  </si>
  <si>
    <t>HUAMAN ALEJO, LUIS NILO</t>
  </si>
  <si>
    <t>HUAMAN CASTRO, NILTON LUIS</t>
  </si>
  <si>
    <t>HUAMAN CURI, PEDRO ISAAC</t>
  </si>
  <si>
    <t>HUAMANI MAZGO, DYERSON EDGAR</t>
  </si>
  <si>
    <t>HUAMANI MAZGO, OSCAR DAVID</t>
  </si>
  <si>
    <t>HUARAC REYES, CESAR ROLANDRO</t>
  </si>
  <si>
    <t>HUARANGA HIRPANOCCA, PAULINO ISAAC</t>
  </si>
  <si>
    <t>HUARANGA JIMENEZ, FREDY EDGAR</t>
  </si>
  <si>
    <t>HUARCAYA HERNANDEZ, WILLIAM ROBERTO</t>
  </si>
  <si>
    <t>HUARICANCHA COTERA, ARMANDO YEFFERSON</t>
  </si>
  <si>
    <t>TOPOGRAFO</t>
  </si>
  <si>
    <t>HUARICAPCHA COTERA, RAUL CESAR</t>
  </si>
  <si>
    <t>HUARIPATA LINO, JULIO MOISES</t>
  </si>
  <si>
    <t>HUAROCC NINAHUANCA, WILFREDO LUIS</t>
  </si>
  <si>
    <t>HUAYRA ARTICA, IVAN TAITH</t>
  </si>
  <si>
    <t>HUROCC ROBLES, OMER ULDARICO</t>
  </si>
  <si>
    <t>HURTADO ARROYO, KENNY ABRAHAM</t>
  </si>
  <si>
    <t>HURTADO GUADALUPE, JOSE JUAN</t>
  </si>
  <si>
    <t>HURTADO SALVADOR, NOE JHOEL</t>
  </si>
  <si>
    <t>IGLESIAS LOPEZ, DENIS EDWIN</t>
  </si>
  <si>
    <t>INCA CONTRERAS, CALIXTO JUVENAL</t>
  </si>
  <si>
    <t>INCHE MACHUCA, DAVID OBISPO</t>
  </si>
  <si>
    <t>INGARUCA ESPINOZA, MARCO YSIDORO</t>
  </si>
  <si>
    <t>JACO POMA, PACO WALTER</t>
  </si>
  <si>
    <t>JANAMPA MEZA, ROOSEVELT RAFAEL</t>
  </si>
  <si>
    <t>JANAMPA YAURI, EDGAR PERCY</t>
  </si>
  <si>
    <t>JAVIER ANDRADE, RICHARD ROGER</t>
  </si>
  <si>
    <t>JIMENEZ SARCO, JOSE MITCHAELL</t>
  </si>
  <si>
    <t>JURADO ANTESANA, GROVER JOEL</t>
  </si>
  <si>
    <t>LANDA APARCO, JHON DEMECIO</t>
  </si>
  <si>
    <t>LANDA MEZA, ISIDORO ALFREDO</t>
  </si>
  <si>
    <t>LANDAURO AQUINO, CHARLES TEODORO</t>
  </si>
  <si>
    <t>LAPA TORRES, RAUL ANGEL</t>
  </si>
  <si>
    <t>LARA BLAS, ULDARICO TEODORO</t>
  </si>
  <si>
    <t>LAZARO MIRANDA, LEONIDES FERNANDO</t>
  </si>
  <si>
    <t>LEANDRO HUANCA, JUAN MISAEL</t>
  </si>
  <si>
    <t>LEON BONIFACIO, PERCY HUMBERTO</t>
  </si>
  <si>
    <t>LEON PORRAS, JORGE SALOMON</t>
  </si>
  <si>
    <t>LIMA ONTON, EDGAR RAMIRO</t>
  </si>
  <si>
    <t>LLACCTAHUAMAN URETA, VICTOR RICHARD</t>
  </si>
  <si>
    <t>LOPEZ ROJAS, DIONISIO PERCY</t>
  </si>
  <si>
    <t>LUIS LUIS, RAUL ENRIQUE</t>
  </si>
  <si>
    <t>MAMANI HERRERA, RUBEN PABLO</t>
  </si>
  <si>
    <t>MARCAS HUAIRA, WEST RODOLFO</t>
  </si>
  <si>
    <t>MARCELO MURILLO, MIGUEL FRED</t>
  </si>
  <si>
    <t>MARCHAN CAYETANO, GUDMAR ANGEL</t>
  </si>
  <si>
    <t>MARCHAN GOÑE, CONSTANTINO JOSE</t>
  </si>
  <si>
    <t>MARTINEZ ARRIETA, GABRIEL GUSTAVO</t>
  </si>
  <si>
    <t>MARTINEZ MENDOZA, LEONARDO GERMAN</t>
  </si>
  <si>
    <t>MARTINEZ RICALDI, MIGUEL SATURNINO</t>
  </si>
  <si>
    <t>MATAMOROS CRUZ, VICTOR DANIEL</t>
  </si>
  <si>
    <t>MATAMOROS PARIONA, TONNY LEONCIO</t>
  </si>
  <si>
    <t>MAYTA CAJA, RAMIRO CORNELIO</t>
  </si>
  <si>
    <t>MEDRANO URRZUA, ANGEL ANDRES</t>
  </si>
  <si>
    <t>MELGAREJO ARROYO, DAÑE AURELIO</t>
  </si>
  <si>
    <t>MELO RAMOS, DANIEL RUBEN</t>
  </si>
  <si>
    <t>MENDOZA ESTEBAN, ROGER BRINDIS</t>
  </si>
  <si>
    <t>MERINO JANAMPA, LORGIO AURELIO</t>
  </si>
  <si>
    <t>MEZA NASTARES, KENNEDY SAMUEL</t>
  </si>
  <si>
    <t>OPERADOR DE ALPHA</t>
  </si>
  <si>
    <t>MEZA VERASTEGUI, SILVERIO ANDRES</t>
  </si>
  <si>
    <t>MEZA VILCA, ALAIN HUBERT</t>
  </si>
  <si>
    <t>MORA DE LA CRUZ, MARCO JHONY</t>
  </si>
  <si>
    <t>MORALES GONZALES, CARLOS EDGAR</t>
  </si>
  <si>
    <t>NESTARES RAVICHAGUA, WILLIAM SEBASTIAN</t>
  </si>
  <si>
    <t>NONALAYA RAVICHAGUA, FREDDY MOISES</t>
  </si>
  <si>
    <t>NONATO CHAVEZ, FREDDY JAVIER</t>
  </si>
  <si>
    <t>NUÑEZ CASTAÑEDA, SERGIO EDGAR</t>
  </si>
  <si>
    <t>OLIVAR RAMOS, GLADIVIR MIGUEL</t>
  </si>
  <si>
    <t>ORDOÑEZ LANDEO, ROLANDO FRANCIS</t>
  </si>
  <si>
    <t>ORELLANA ANGOMA, FERNANDO BRITO</t>
  </si>
  <si>
    <t>INGENIERO DE COSTOS Y PRODUCTIVIDAD</t>
  </si>
  <si>
    <t>ORTEGA MAZGO, CURSINE ABELARDO</t>
  </si>
  <si>
    <t>ORTIZ PORRAS, ODILON PEDRO</t>
  </si>
  <si>
    <t>ORUNA ULLOA, JUAN JESUS</t>
  </si>
  <si>
    <t>OSORIO CARDENAS, MARIO ALEJANDRO</t>
  </si>
  <si>
    <t>OSORIO CARDENAS, VIRGILIO MAGNO</t>
  </si>
  <si>
    <t>OSORIO DAGA, ALCIDES AGUSTIN</t>
  </si>
  <si>
    <t>PALPA AVELINO, WILFREDO DAVID</t>
  </si>
  <si>
    <t>PARCO HURTADO, JULIO FELIPE</t>
  </si>
  <si>
    <t>PAREDES SALAZAR, MICHAEL MOISES</t>
  </si>
  <si>
    <t>PARIONA GALINDO, EDUARDO BENJAMIN</t>
  </si>
  <si>
    <t>PAUCAR MACHACUAY, OMAR DAVID</t>
  </si>
  <si>
    <t>PAUCAR TAMAZON, ELVIS CARLOS</t>
  </si>
  <si>
    <t>PAUCCARA HACHIRCANA, LUCIO ARTURO</t>
  </si>
  <si>
    <t>PECHO MEZA, ROLANDO JOEL</t>
  </si>
  <si>
    <t>PEÑALOZA ROJAS, JORGE JUAN</t>
  </si>
  <si>
    <t>PICHIUZA SHAREVA, CARLOS ALEJANDRIN</t>
  </si>
  <si>
    <t>PICOY CABELLO, MAXIMO ALFONZO</t>
  </si>
  <si>
    <t>POMA HILARIO, RUBEN EDSON</t>
  </si>
  <si>
    <t>POMA LIMAYLLA, RAUL ALBERTO</t>
  </si>
  <si>
    <t>POMA POVIS, GILBERTO COPERTINO</t>
  </si>
  <si>
    <t>PORRAS CAYETANO, JOSE EDGAR</t>
  </si>
  <si>
    <t>PORTILLA CASTRO, EUGENIO TEODORO</t>
  </si>
  <si>
    <t>PRADO CCANTO, HECTOR JAIME</t>
  </si>
  <si>
    <t>PUJAY PEÑA, JULIO CARLOS</t>
  </si>
  <si>
    <t>QUINCHO CORONEL, HERNAN TITO</t>
  </si>
  <si>
    <t>QUINTEROS CHUCO, ELIAS ALEX</t>
  </si>
  <si>
    <t>QUISPE GUILLERMO, BRICILIANO JOHONATAN</t>
  </si>
  <si>
    <t>QUISPE PARIÑO, SAUL MOISES</t>
  </si>
  <si>
    <t>QUISPE RIVERA, JOEL DAVID</t>
  </si>
  <si>
    <t>RAMIRES SOLIS, HOLVER SANDER</t>
  </si>
  <si>
    <t>RAMIREZ GOMEZ, EFRAIN CARLOS</t>
  </si>
  <si>
    <t>RAMON GUADALUPE, EFRAIN ANTONIO</t>
  </si>
  <si>
    <t>RAMOS CAMARENA, EDGAR FREDY</t>
  </si>
  <si>
    <t>RAMOS FALCON, DENIS ANGEL</t>
  </si>
  <si>
    <t>RAMOS ROJAS, ALEXS ISAAC</t>
  </si>
  <si>
    <t>RAMOS YUPANQUI, RUBEN ANTONIO</t>
  </si>
  <si>
    <t>RARAZ VALDIVIA, PAULINO DAVID</t>
  </si>
  <si>
    <t>RAYMUNDO DELGADO, ALEX WALTER</t>
  </si>
  <si>
    <t>REQUIN MELO, VICTOR VICTOR</t>
  </si>
  <si>
    <t>REVOREDO ACLARI, PEDRO ANTONIO</t>
  </si>
  <si>
    <t>RIMARI MEZA, BETO JUVENAL</t>
  </si>
  <si>
    <t>RIOS GONZALES, CESAR JAIME</t>
  </si>
  <si>
    <t>RIVERA CAMPOS, REYNALDO MARTIN</t>
  </si>
  <si>
    <t>RIVERA TEJEDA, ARTURO MARCOS</t>
  </si>
  <si>
    <t>RIVERA YUPANQUI, RODOLFO NOLI</t>
  </si>
  <si>
    <t>ROBLADILLO HUATUCO, WALTER ENRIQUE</t>
  </si>
  <si>
    <t>ROBLES ALMERCO, LUIS FLORENCIO</t>
  </si>
  <si>
    <t>ROBLES RIVERA, OSCAR JUAN</t>
  </si>
  <si>
    <t>RODRIGUEZ ALIAGA, DARWIN BAUTISTA</t>
  </si>
  <si>
    <t>ROJAS CUSTODIO, PEDRO ARNALDO</t>
  </si>
  <si>
    <t>ROJAS ESCALANTE, ANTONIO EMILIANO</t>
  </si>
  <si>
    <t>ROJAS MARTICORENA, LUIS FELIPE</t>
  </si>
  <si>
    <t>JEFE DE SEGURIDAD</t>
  </si>
  <si>
    <t>ROJAS VICENTE, FAUSTINO ROLANDO</t>
  </si>
  <si>
    <t>ROMAN ZEVALLOS, RICHER ALEJANDRO</t>
  </si>
  <si>
    <t>ROMERO GONZALES, ELVIS MIGUEL</t>
  </si>
  <si>
    <t>ROMERO URBANO, GERONIMO MANUEL</t>
  </si>
  <si>
    <t>ROQUE CABELLO, MAGNO JOSE</t>
  </si>
  <si>
    <t>ROSALES CARDENAS, PRODENCIO CESAR</t>
  </si>
  <si>
    <t>ROSALES MORI, RODOLFO JOSE</t>
  </si>
  <si>
    <t>ROSAS BRUNO, CECILIO FILIBERTO</t>
  </si>
  <si>
    <t>ROSAS CRUZ, EDGAR DAVID</t>
  </si>
  <si>
    <t>ROSAS MENDOZA, ROLY LUIS</t>
  </si>
  <si>
    <t>ROSAS SALAS, JOSE CARLOS</t>
  </si>
  <si>
    <t>ROSAS TORRES, JUAN ROLANDO</t>
  </si>
  <si>
    <t>RUIZ CASAVILCA, INOCENTE ROBERT</t>
  </si>
  <si>
    <t>RUIZ CASAVILCA, JESUS HANS</t>
  </si>
  <si>
    <t>RUIZ PACHECO, RAYMUNDO AGREPINO</t>
  </si>
  <si>
    <t>SALAZAR INGA, ROBERTO NILTON</t>
  </si>
  <si>
    <t>SALAZAR PEZUA, EMILIANO SERGIO</t>
  </si>
  <si>
    <t>SALAZAR PEZUA, HUGO YASSER</t>
  </si>
  <si>
    <t>SALAZAR VILCHEZ, JIMMY RABYT</t>
  </si>
  <si>
    <t>SEXO</t>
  </si>
  <si>
    <t>ZONA</t>
  </si>
  <si>
    <t>CARGO</t>
  </si>
  <si>
    <t>FECHA INGRESO</t>
  </si>
  <si>
    <t>01/08/2004</t>
  </si>
  <si>
    <t>01/08/2005</t>
  </si>
  <si>
    <t>01/08/2006</t>
  </si>
  <si>
    <t>01/08/2007</t>
  </si>
  <si>
    <t>01/08/2008</t>
  </si>
  <si>
    <t>01/09/2004</t>
  </si>
  <si>
    <t>01/09/2005</t>
  </si>
  <si>
    <t>01/09/2006</t>
  </si>
  <si>
    <t>01/09/2007</t>
  </si>
  <si>
    <t>01/09/2008</t>
  </si>
  <si>
    <t>01/09/2009</t>
  </si>
  <si>
    <t>01/10/2007</t>
  </si>
  <si>
    <t>01/10/2008</t>
  </si>
  <si>
    <t>01/10/2009</t>
  </si>
  <si>
    <t>01/11/2008</t>
  </si>
  <si>
    <t>01/11/2009</t>
  </si>
  <si>
    <t>01/12/2000</t>
  </si>
  <si>
    <t>01/12/2002</t>
  </si>
  <si>
    <t>01/12/2007</t>
  </si>
  <si>
    <t>01/12/2008</t>
  </si>
  <si>
    <t>01/12/2009</t>
  </si>
  <si>
    <t>02/02/2010</t>
  </si>
  <si>
    <t>02/03/2007</t>
  </si>
  <si>
    <t>02/06/2010</t>
  </si>
  <si>
    <t>02/07/2008</t>
  </si>
  <si>
    <t>02/07/2009</t>
  </si>
  <si>
    <t>02/08/2009</t>
  </si>
  <si>
    <t>02/11/2009</t>
  </si>
  <si>
    <t>02/12/2008</t>
  </si>
  <si>
    <t>03/03/2009</t>
  </si>
  <si>
    <t>03/05/2010</t>
  </si>
  <si>
    <t>03/06/2009</t>
  </si>
  <si>
    <t>03/07/2008</t>
  </si>
  <si>
    <t>03/08/2007</t>
  </si>
  <si>
    <t>03/09/2006</t>
  </si>
  <si>
    <t>03/09/2009</t>
  </si>
  <si>
    <t>03/11/2009</t>
  </si>
  <si>
    <t>03/12/2007</t>
  </si>
  <si>
    <t>04/02/2009</t>
  </si>
  <si>
    <t>04/02/2010</t>
  </si>
  <si>
    <t>04/03/2009</t>
  </si>
  <si>
    <t>04/04/2008</t>
  </si>
  <si>
    <t>04/05/2009</t>
  </si>
  <si>
    <t>04/06/2010</t>
  </si>
  <si>
    <t>04/07/2008</t>
  </si>
  <si>
    <t>04/09/2007</t>
  </si>
  <si>
    <t>04/09/2009</t>
  </si>
  <si>
    <t>04/10/2009</t>
  </si>
  <si>
    <t>04/11/2004</t>
  </si>
  <si>
    <t>05/03/2006</t>
  </si>
  <si>
    <t>05/03/2008</t>
  </si>
  <si>
    <t>05/03/2010</t>
  </si>
  <si>
    <t>05/04/2009</t>
  </si>
  <si>
    <t>05/05/2009</t>
  </si>
  <si>
    <t>05/05/2010</t>
  </si>
  <si>
    <t>05/07/2007</t>
  </si>
  <si>
    <t>05/07/2010</t>
  </si>
  <si>
    <t>05/08/2008</t>
  </si>
  <si>
    <t>05/08/2009</t>
  </si>
  <si>
    <t>05/09/2007</t>
  </si>
  <si>
    <t>05/09/2009</t>
  </si>
  <si>
    <t>05/10/2006</t>
  </si>
  <si>
    <t>05/11/2009</t>
  </si>
  <si>
    <t>05/12/2008</t>
  </si>
  <si>
    <t>06/03/2006</t>
  </si>
  <si>
    <t>06/03/2007</t>
  </si>
  <si>
    <t>06/03/2009</t>
  </si>
  <si>
    <t>06/04/2010</t>
  </si>
  <si>
    <t>06/05/2007</t>
  </si>
  <si>
    <t>06/05/2009</t>
  </si>
  <si>
    <t>06/05/2010</t>
  </si>
  <si>
    <t>06/07/2007</t>
  </si>
  <si>
    <t>06/07/2010</t>
  </si>
  <si>
    <t>06/08/2008</t>
  </si>
  <si>
    <t>06/10/2009</t>
  </si>
  <si>
    <t>06/11/2008</t>
  </si>
  <si>
    <t>06/11/2009</t>
  </si>
  <si>
    <t>06/12/2005</t>
  </si>
  <si>
    <t>07/01/2006</t>
  </si>
  <si>
    <t>07/01/2009</t>
  </si>
  <si>
    <t>07/02/2008</t>
  </si>
  <si>
    <t>07/03/2007</t>
  </si>
  <si>
    <t>07/04/2007</t>
  </si>
  <si>
    <t>07/04/2010</t>
  </si>
  <si>
    <t>07/06/2007</t>
  </si>
  <si>
    <t>07/06/2008</t>
  </si>
  <si>
    <t>07/06/2009</t>
  </si>
  <si>
    <t>07/06/2010</t>
  </si>
  <si>
    <t>07/07/2010</t>
  </si>
  <si>
    <t>07/08/2009</t>
  </si>
  <si>
    <t>07/09/2007</t>
  </si>
  <si>
    <t>07/11/2006</t>
  </si>
  <si>
    <t>07/11/2008</t>
  </si>
  <si>
    <t>07/11/2009</t>
  </si>
  <si>
    <t>07/12/2007</t>
  </si>
  <si>
    <t>08/03/2008</t>
  </si>
  <si>
    <t>08/03/2009</t>
  </si>
  <si>
    <t>08/04/2008</t>
  </si>
  <si>
    <t>08/04/2010</t>
  </si>
  <si>
    <t>08/05/2006</t>
  </si>
  <si>
    <t>08/05/2010</t>
  </si>
  <si>
    <t>08/06/2010</t>
  </si>
  <si>
    <t>08/07/2010</t>
  </si>
  <si>
    <t>08/08/2007</t>
  </si>
  <si>
    <t>08/11/2008</t>
  </si>
  <si>
    <t>09/05/2007</t>
  </si>
  <si>
    <t>09/06/2009</t>
  </si>
  <si>
    <t>09/07/2007</t>
  </si>
  <si>
    <t>09/07/2008</t>
  </si>
  <si>
    <t>09/07/2009</t>
  </si>
  <si>
    <t>09/09/2008</t>
  </si>
  <si>
    <t>09/09/2009</t>
  </si>
  <si>
    <t>09/12/2008</t>
  </si>
  <si>
    <t>10/01/2007</t>
  </si>
  <si>
    <t>10/01/2008</t>
  </si>
  <si>
    <t>10/01/2009</t>
  </si>
  <si>
    <t>10/02/2010</t>
  </si>
  <si>
    <t>10/03/2007</t>
  </si>
  <si>
    <t>10/03/2010</t>
  </si>
  <si>
    <t>10/04/2010</t>
  </si>
  <si>
    <t>10/05/2006</t>
  </si>
  <si>
    <t>10/05/2010</t>
  </si>
  <si>
    <t>10/06/2009</t>
  </si>
  <si>
    <t>10/06/2010</t>
  </si>
  <si>
    <t>10/07/2008</t>
  </si>
  <si>
    <t>10/08/2008</t>
  </si>
  <si>
    <t>10/09/2008</t>
  </si>
  <si>
    <t>10/09/2009</t>
  </si>
  <si>
    <t>10/10/2006</t>
  </si>
  <si>
    <t>10/11/2008</t>
  </si>
  <si>
    <t>11/01/2008</t>
  </si>
  <si>
    <t>11/01/2010</t>
  </si>
  <si>
    <t>11/02/2008</t>
  </si>
  <si>
    <t>11/04/2008</t>
  </si>
  <si>
    <t>11/06/2008</t>
  </si>
  <si>
    <t>11/06/2009</t>
  </si>
  <si>
    <t>11/06/2010</t>
  </si>
  <si>
    <t>11/07/2007</t>
  </si>
  <si>
    <t>11/07/2009</t>
  </si>
  <si>
    <t>11/08/2005</t>
  </si>
  <si>
    <t>11/08/2008</t>
  </si>
  <si>
    <t>11/08/2009</t>
  </si>
  <si>
    <t>11/11/2008</t>
  </si>
  <si>
    <t>11/12/2009</t>
  </si>
  <si>
    <t>12/02/2010</t>
  </si>
  <si>
    <t>12/03/2009</t>
  </si>
  <si>
    <t>12/03/2010</t>
  </si>
  <si>
    <t>12/04/2008</t>
  </si>
  <si>
    <t>12/05/2010</t>
  </si>
  <si>
    <t>12/08/2009</t>
  </si>
  <si>
    <t>12/09/2007</t>
  </si>
  <si>
    <t>12/09/2008</t>
  </si>
  <si>
    <t>12/09/2009</t>
  </si>
  <si>
    <t>12/12/2005</t>
  </si>
  <si>
    <t>13/01/2004</t>
  </si>
  <si>
    <t>13/02/2006</t>
  </si>
  <si>
    <t>13/02/2010</t>
  </si>
  <si>
    <t>13/03/2007</t>
  </si>
  <si>
    <t>13/03/2009</t>
  </si>
  <si>
    <t>13/04/2007</t>
  </si>
  <si>
    <t>13/04/2009</t>
  </si>
  <si>
    <t>13/05/2008</t>
  </si>
  <si>
    <t>13/05/2009</t>
  </si>
  <si>
    <t>13/07/2010</t>
  </si>
  <si>
    <t>13/11/2007</t>
  </si>
  <si>
    <t>13/11/2009</t>
  </si>
  <si>
    <t>13/12/2008</t>
  </si>
  <si>
    <t>14/02/2010</t>
  </si>
  <si>
    <t>14/03/2006</t>
  </si>
  <si>
    <t>14/03/2007</t>
  </si>
  <si>
    <t>14/03/2008</t>
  </si>
  <si>
    <t>14/03/2009</t>
  </si>
  <si>
    <t>14/04/2010</t>
  </si>
  <si>
    <t>14/05/2005</t>
  </si>
  <si>
    <t>14/06/2006</t>
  </si>
  <si>
    <t>14/07/2010</t>
  </si>
  <si>
    <t>14/08/2007</t>
  </si>
  <si>
    <t>14/09/2006</t>
  </si>
  <si>
    <t>14/10/2009</t>
  </si>
  <si>
    <t>14/11/2009</t>
  </si>
  <si>
    <t>14/12/2005</t>
  </si>
  <si>
    <t>15/01/2007</t>
  </si>
  <si>
    <t>15/01/2010</t>
  </si>
  <si>
    <t>15/02/2007</t>
  </si>
  <si>
    <t>15/03/2007</t>
  </si>
  <si>
    <t>15/03/2008</t>
  </si>
  <si>
    <t>15/03/2009</t>
  </si>
  <si>
    <t>15/03/2010</t>
  </si>
  <si>
    <t>15/04/2008</t>
  </si>
  <si>
    <t>15/04/2010</t>
  </si>
  <si>
    <t>15/05/2005</t>
  </si>
  <si>
    <t>15/05/2006</t>
  </si>
  <si>
    <t>15/05/2008</t>
  </si>
  <si>
    <t>15/05/2010</t>
  </si>
  <si>
    <t>15/07/2009</t>
  </si>
  <si>
    <t>15/08/2007</t>
  </si>
  <si>
    <t>15/08/2009</t>
  </si>
  <si>
    <t>15/10/2008</t>
  </si>
  <si>
    <t>15/11/2009</t>
  </si>
  <si>
    <t>16/02/2010</t>
  </si>
  <si>
    <t>16/04/2010</t>
  </si>
  <si>
    <t>16/06/2007</t>
  </si>
  <si>
    <t>16/07/2010</t>
  </si>
  <si>
    <t>16/08/2007</t>
  </si>
  <si>
    <t>16/09/2008</t>
  </si>
  <si>
    <t>16/09/2009</t>
  </si>
  <si>
    <t>16/10/2009</t>
  </si>
  <si>
    <t>16/12/2007</t>
  </si>
  <si>
    <t>17/02/2007</t>
  </si>
  <si>
    <t>17/02/2008</t>
  </si>
  <si>
    <t>17/03/2009</t>
  </si>
  <si>
    <t>17/04/2008</t>
  </si>
  <si>
    <t>17/05/2005</t>
  </si>
  <si>
    <t>17/05/2009</t>
  </si>
  <si>
    <t>17/05/2010</t>
  </si>
  <si>
    <t>17/06/2009</t>
  </si>
  <si>
    <t>17/11/2006</t>
  </si>
  <si>
    <t>17/11/2008</t>
  </si>
  <si>
    <t>18/02/2009</t>
  </si>
  <si>
    <t>ALIAGA CERRON, RUTH</t>
  </si>
  <si>
    <t>ARANDA ARELLANO, ROCIO</t>
  </si>
  <si>
    <t>CAMPOS HUAYNATE, ROSMARIN</t>
  </si>
  <si>
    <t>ESTRELLA TEJEDA, IZELA</t>
  </si>
  <si>
    <t>FELIX RIVERA, ROSA</t>
  </si>
  <si>
    <t>HILARIO MELCHOR, MAYRA</t>
  </si>
  <si>
    <t>AVILA JARA, HECTOR</t>
  </si>
  <si>
    <t>CASTRO QUISPE, EDWIN</t>
  </si>
  <si>
    <t>ESPIRITU PERALTA, JAIME</t>
  </si>
  <si>
    <t>HUATUCO TUPACYUPANQUI, CARLOS</t>
  </si>
  <si>
    <t>LOVATON PRUDENCIO, JORGE</t>
  </si>
  <si>
    <t>PORRAS CALDERON, ARTEMIO</t>
  </si>
  <si>
    <t>QUISPE HUINCHO, FRANSTER</t>
  </si>
  <si>
    <t>RAMIREZ JIMENEZ, ORLANDO</t>
  </si>
  <si>
    <t>SILVA VICTORIA, SUSANNE</t>
  </si>
  <si>
    <t>CALCINA MAMANI, CARLOS</t>
  </si>
  <si>
    <t>CONDORI CAMA, ANGEL</t>
  </si>
  <si>
    <t>CRISPIN URBANO, FELIX</t>
  </si>
  <si>
    <t>CUBA MERLO, VICTOR</t>
  </si>
  <si>
    <t>DAMIAN OTAROLA, ANGEL</t>
  </si>
  <si>
    <t>ESPINOZA GARCIA, JAVIER</t>
  </si>
  <si>
    <t>FLORES ESPINOZA, JOEL</t>
  </si>
  <si>
    <t>GONZALES RAVICHAGUA, EMILIO</t>
  </si>
  <si>
    <t>GONZALO RIVERA, EDGAR</t>
  </si>
  <si>
    <t>HERMITAÑO HUERE, CESAR</t>
  </si>
  <si>
    <t>HURTADO QUISPE, MOISES</t>
  </si>
  <si>
    <t>LLANOS HENRIQUEZ, ANGEL</t>
  </si>
  <si>
    <t>MEZA ROJAS, ARTURO</t>
  </si>
  <si>
    <t>PACHECO RAMOS, JUAN</t>
  </si>
  <si>
    <t>PORRAS JIMENEZ, GERMAN</t>
  </si>
  <si>
    <t>QUIÑONEZ IMBERTIZ, JUAN</t>
  </si>
  <si>
    <t>QUISPE ROJAS, GUSTAVO</t>
  </si>
  <si>
    <t>RAMON GUADALUPE, ROBERT</t>
  </si>
  <si>
    <t>RAMOS TRUJILLO, ROBERTO</t>
  </si>
  <si>
    <t>SANTOS RAMOS, GERMAN</t>
  </si>
  <si>
    <t>SALAZAR SANTIAGO, JOSE</t>
  </si>
  <si>
    <t>ALIAGA USCUVILCA, HAYDA</t>
  </si>
  <si>
    <t>ARRIETA CAYETANO, ELVIS</t>
  </si>
  <si>
    <t>ATENCIO ARIAS, HECTOR</t>
  </si>
  <si>
    <t>AYALA ROJAS, FIDEL</t>
  </si>
  <si>
    <t>BARBOZA HUAMAN, OLIMPIO</t>
  </si>
  <si>
    <t>BEJARANO HERRERA, RAUL</t>
  </si>
  <si>
    <t>BENITO ARROYO, ANGEL</t>
  </si>
  <si>
    <t>BONILLA RECINAS, FREDY</t>
  </si>
  <si>
    <t>BONILLA RECINES, ERICK</t>
  </si>
  <si>
    <t>BRICEÑO MERCADO, CESAR</t>
  </si>
  <si>
    <t>CARBAJAL ÑAUPARI, RONAL</t>
  </si>
  <si>
    <t>CASIMIRO COLACHAGUA, RAMIRO</t>
  </si>
  <si>
    <t>CASTAÑEDA GARCIA, OLIVER</t>
  </si>
  <si>
    <t>CACERES CHANCO, PABLO</t>
  </si>
  <si>
    <t>CARREÑO ROJAS, DAVID</t>
  </si>
  <si>
    <t>CCAHUA QUISPE, ARTURO</t>
  </si>
  <si>
    <t>CHACCHI DIAZ, SERAFIN</t>
  </si>
  <si>
    <t>CHANCAS DAVILA, EFRAIN</t>
  </si>
  <si>
    <t>CHAHUAILACC POVIS, HECTOR</t>
  </si>
  <si>
    <t>CHOMBO CAMACUARI, ROGELIO</t>
  </si>
  <si>
    <t>CHUCO GUTARRA, WILMER</t>
  </si>
  <si>
    <t>CHUQUICALLATA CAYETANO, GENARO</t>
  </si>
  <si>
    <t>CONTRERAS MENENDEZ, DAVID</t>
  </si>
  <si>
    <t>CORDOVA PULIDO, SIXTO</t>
  </si>
  <si>
    <t>CRISOSTOMO ESPINOZA, FLORENCIO</t>
  </si>
  <si>
    <t>CRISTOBAL REYES, FIDENCIO</t>
  </si>
  <si>
    <t>CRUZ MAYTA, GERSON</t>
  </si>
  <si>
    <t>DAGA ALFARO, JULIO</t>
  </si>
  <si>
    <t>DE LA CRUZ AREVALO, ANTONIO</t>
  </si>
  <si>
    <t>ECHEVARRIA CORDOVA, EDMER</t>
  </si>
  <si>
    <t>EGOAVIL OSORIO, EDUARDO</t>
  </si>
  <si>
    <t>EGOAVIL SANCHEZ, GABRIEL</t>
  </si>
  <si>
    <t>ESPINOZA OSCATEGUI, IVAN</t>
  </si>
  <si>
    <t>ESTACIO UNTIVEROS, JOEL</t>
  </si>
  <si>
    <t>FRANCISCO VARILLAS, PETER</t>
  </si>
  <si>
    <t>GARCIA QUINCHO, FERNANDO</t>
  </si>
  <si>
    <t>GOMEZ AGUIRRE, LUIS</t>
  </si>
  <si>
    <t>GOMEZ CARHUANCHO, EDUARDO</t>
  </si>
  <si>
    <t>GUTIERREZ QUISPE, DIOGENES</t>
  </si>
  <si>
    <t>HIDALGO CHUMBEZ, NICKY</t>
  </si>
  <si>
    <t>HUAMAN CHAVEZ, VICTOR</t>
  </si>
  <si>
    <t>HUAMAN BERNALDO, WILMER</t>
  </si>
  <si>
    <t>HUAYTAN MORALES, CIRO</t>
  </si>
  <si>
    <t>HUAMAN VILLANUEVA, CESAR</t>
  </si>
  <si>
    <t>HUAMAN SANCHEZ, HUGO</t>
  </si>
  <si>
    <t>IGNACIO PATILONGO, HITLER</t>
  </si>
  <si>
    <t>IGNACIO CCALA, ANDY</t>
  </si>
  <si>
    <t>JANAMPA CALZADA, DAVID</t>
  </si>
  <si>
    <t>JANCA VALENTIN, HECTOR</t>
  </si>
  <si>
    <t>JURADO BERROSPI, BENJAMIN</t>
  </si>
  <si>
    <t>JULCAMANYAN BERROSPI, JOSE</t>
  </si>
  <si>
    <t>LAURA ESPINOZA, JHON</t>
  </si>
  <si>
    <t>LAPA ALCOSER, PAUL</t>
  </si>
  <si>
    <t>LEON YALICO, ALEX</t>
  </si>
  <si>
    <t>LINO URETA, RONAL</t>
  </si>
  <si>
    <t>LOPEZ TACUNAN, DIDIER</t>
  </si>
  <si>
    <t>LOPEZ BLAS, AGUSTIN</t>
  </si>
  <si>
    <t>LUNA VIDAL, JAIME</t>
  </si>
  <si>
    <t>MARCHAN SANCHEZ, CESAR</t>
  </si>
  <si>
    <t>MAYHUA HUARCAYA, EDSON</t>
  </si>
  <si>
    <t>MATIAS VELASQUEZ, JAVIER</t>
  </si>
  <si>
    <t>MENDOZA CANTARO, EDWIN</t>
  </si>
  <si>
    <t>MENDOZA CARHUARICRA, FELIX</t>
  </si>
  <si>
    <t>MENDOZA FLORES, MARIO</t>
  </si>
  <si>
    <t>MELCHOR CUNYAS, LUIS</t>
  </si>
  <si>
    <t>MORALES MAGNO, RAINER</t>
  </si>
  <si>
    <t>MOTTA PEÑALOZA, HELIO</t>
  </si>
  <si>
    <t>MORENO ÑAHUERO, BESSIT</t>
  </si>
  <si>
    <t>MONAGO CALZADO, CARLOS</t>
  </si>
  <si>
    <t>MORA ESPINOZA, GUZMAN</t>
  </si>
  <si>
    <t>ÑAHUI HURTADO, RUBEN</t>
  </si>
  <si>
    <t>ODIAS CHOMBO, JULIO</t>
  </si>
  <si>
    <t>OJEDA CONDOR, JILMER</t>
  </si>
  <si>
    <t>ORDOÑEZ AMAYA, EDWIN</t>
  </si>
  <si>
    <t>ORE ORTIZ, PELAYO</t>
  </si>
  <si>
    <t>ORE PALOMINO, TEODORO</t>
  </si>
  <si>
    <t>ORTEGA CHUQUIPOMA, LUIS</t>
  </si>
  <si>
    <t>OSCATEGUI AMBROSIO, BENJAMIN</t>
  </si>
  <si>
    <t>PARRA VARGAS, CARLOS</t>
  </si>
  <si>
    <t>PAUCAR ADVINCULA, WILFREDO</t>
  </si>
  <si>
    <t>PAUCAR MACHACUAY, LUIS</t>
  </si>
  <si>
    <t>PACCORI RODRIGO, ELIO</t>
  </si>
  <si>
    <t>PACHA MOLLOCONDO, PABLO</t>
  </si>
  <si>
    <t>PAULINO PINEDA, JACOB</t>
  </si>
  <si>
    <t>PAHUACHO CUEVA, ERNESTO</t>
  </si>
  <si>
    <t>PEREZ CARHUACUSMA, AMERICO</t>
  </si>
  <si>
    <t>PEREZ CUBA, JUAN</t>
  </si>
  <si>
    <t>POMA CRUZ, ANATOLIO</t>
  </si>
  <si>
    <t>PUJAY PEÑA, JOSE</t>
  </si>
  <si>
    <t>QUINTANA ROMERO, JERLES</t>
  </si>
  <si>
    <t>QUISPE CASTAÑEDA, ANTONIO</t>
  </si>
  <si>
    <t>QUISPE HUAMAN, JOSE</t>
  </si>
  <si>
    <t>QUISPE RUIZ, ANTONIO</t>
  </si>
  <si>
    <t>QUISPE VILLANUEVA, CESAR</t>
  </si>
  <si>
    <t>RIVERA RAMIREZ, ROLANDO</t>
  </si>
  <si>
    <t>RIVERA TARAZONA, MARCO</t>
  </si>
  <si>
    <t>RICAPA DE LA CRUZ, LUCIANO</t>
  </si>
  <si>
    <t>RICRA CHAVEZ, ROGER</t>
  </si>
  <si>
    <t>ROBLADILLO CALERO, EDWIN</t>
  </si>
  <si>
    <t>ROBLADILLO CHIRINOS, MELITON</t>
  </si>
  <si>
    <t>ROBLADILLO SALVA, NELIO</t>
  </si>
  <si>
    <t>RODRIGUEZ HUAIHUA, RAFAEL</t>
  </si>
  <si>
    <t>ROJAS TRAVEZAÑO, JUAN</t>
  </si>
  <si>
    <t>SANTIAGO TRAVEZAÑO, ANGEL</t>
  </si>
  <si>
    <t>Al mes de devengue 2019-12</t>
  </si>
  <si>
    <t>2800</t>
  </si>
  <si>
    <t>3000</t>
  </si>
  <si>
    <t>2500</t>
  </si>
  <si>
    <t>1450</t>
  </si>
  <si>
    <t>1200</t>
  </si>
  <si>
    <t>1300</t>
  </si>
  <si>
    <t>1350</t>
  </si>
  <si>
    <t>1250</t>
  </si>
  <si>
    <t>1400</t>
  </si>
  <si>
    <t>1800</t>
  </si>
  <si>
    <t>1900</t>
  </si>
  <si>
    <t>5500</t>
  </si>
  <si>
    <t>6000</t>
  </si>
  <si>
    <t>1700</t>
  </si>
  <si>
    <t>900</t>
  </si>
  <si>
    <t>850</t>
  </si>
  <si>
    <t>1000</t>
  </si>
  <si>
    <t>950</t>
  </si>
  <si>
    <t>1100</t>
  </si>
  <si>
    <t>1150</t>
  </si>
  <si>
    <t>1050</t>
  </si>
  <si>
    <t>1500</t>
  </si>
  <si>
    <t>1600</t>
  </si>
  <si>
    <t>1550</t>
  </si>
  <si>
    <t>2300</t>
  </si>
  <si>
    <t>2000</t>
  </si>
  <si>
    <t>2400</t>
  </si>
  <si>
    <t>1850</t>
  </si>
  <si>
    <t>1380</t>
  </si>
  <si>
    <t>1750</t>
  </si>
  <si>
    <t>1650</t>
  </si>
  <si>
    <t>4200</t>
  </si>
  <si>
    <t>3800</t>
  </si>
  <si>
    <t>6500</t>
  </si>
  <si>
    <t>7500</t>
  </si>
  <si>
    <t>8000</t>
  </si>
  <si>
    <t>2200</t>
  </si>
  <si>
    <t>2250</t>
  </si>
  <si>
    <t>3500</t>
  </si>
  <si>
    <t>4500</t>
  </si>
  <si>
    <t>4000</t>
  </si>
  <si>
    <t>2900</t>
  </si>
  <si>
    <t>5000</t>
  </si>
  <si>
    <t>2100</t>
  </si>
  <si>
    <t>2600</t>
  </si>
  <si>
    <t>2700</t>
  </si>
  <si>
    <t>Máximo</t>
  </si>
  <si>
    <t>Mínimo</t>
  </si>
  <si>
    <t>Promedio</t>
  </si>
  <si>
    <t>Cantidad</t>
  </si>
  <si>
    <t>Total Sueldo Básico</t>
  </si>
  <si>
    <t>Rubén</t>
  </si>
  <si>
    <t>Edúcate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</si>
</sst>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i/>
      <sz val="12"/>
      <color rgb="FF688EB7"/>
      <name val="Trebuchet MS"/>
      <family val="2"/>
    </font>
    <font>
      <sz val="12"/>
      <color theme="1"/>
      <name val="Trebuchet MS"/>
      <family val="2"/>
    </font>
    <font>
      <b/>
      <sz val="12"/>
      <color rgb="FF688EB7"/>
      <name val="Trebuchet MS"/>
      <family val="2"/>
    </font>
    <font>
      <sz val="12"/>
      <color rgb="FF457AB2"/>
      <name val="Trebuchet MS"/>
      <family val="2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ourier New"/>
      <family val="3"/>
    </font>
    <font>
      <sz val="20"/>
      <color theme="0"/>
      <name val="Courier New"/>
      <family val="3"/>
    </font>
    <font>
      <b/>
      <i/>
      <sz val="12"/>
      <name val="Lucida Sans"/>
      <family val="2"/>
    </font>
  </fonts>
  <fills count="10">
    <fill>
      <patternFill patternType="none"/>
    </fill>
    <fill>
      <patternFill patternType="gray125"/>
    </fill>
    <fill>
      <patternFill patternType="solid">
        <fgColor rgb="FFF1F5F9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E5ECF4"/>
      </left>
      <right/>
      <top style="medium">
        <color rgb="FFE5ECF4"/>
      </top>
      <bottom/>
      <diagonal/>
    </border>
    <border>
      <left/>
      <right/>
      <top style="medium">
        <color rgb="FFE5ECF4"/>
      </top>
      <bottom/>
      <diagonal/>
    </border>
    <border>
      <left style="medium">
        <color rgb="FFE5ECF4"/>
      </left>
      <right style="medium">
        <color rgb="FFE5ECF4"/>
      </right>
      <top style="medium">
        <color rgb="FFE5ECF4"/>
      </top>
      <bottom/>
      <diagonal/>
    </border>
    <border>
      <left style="medium">
        <color rgb="FFE5ECF4"/>
      </left>
      <right style="medium">
        <color rgb="FFE5ECF4"/>
      </right>
      <top/>
      <bottom style="medium">
        <color rgb="FFE5ECF4"/>
      </bottom>
      <diagonal/>
    </border>
    <border>
      <left/>
      <right/>
      <top/>
      <bottom style="medium">
        <color rgb="FFE5ECF4"/>
      </bottom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0" fontId="2" fillId="0" borderId="0" xfId="0" applyFont="1" applyAlignment="1">
      <alignment vertical="center"/>
    </xf>
    <xf numFmtId="0" fontId="4" fillId="0" borderId="0" xfId="0" applyFont="1"/>
    <xf numFmtId="0" fontId="2" fillId="0" borderId="1" xfId="0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4" fontId="2" fillId="0" borderId="1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vertical="center"/>
    </xf>
    <xf numFmtId="10" fontId="6" fillId="3" borderId="0" xfId="0" applyNumberFormat="1" applyFont="1" applyFill="1" applyAlignment="1">
      <alignment vertical="center" wrapText="1"/>
    </xf>
    <xf numFmtId="10" fontId="6" fillId="4" borderId="0" xfId="0" applyNumberFormat="1" applyFont="1" applyFill="1" applyAlignment="1">
      <alignment vertical="center" wrapText="1"/>
    </xf>
    <xf numFmtId="10" fontId="6" fillId="4" borderId="6" xfId="0" applyNumberFormat="1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5" borderId="1" xfId="0" applyFill="1" applyBorder="1" applyAlignment="1">
      <alignment vertical="center"/>
    </xf>
    <xf numFmtId="0" fontId="9" fillId="0" borderId="0" xfId="0" applyFont="1" applyAlignment="1">
      <alignment vertical="center"/>
    </xf>
    <xf numFmtId="0" fontId="9" fillId="5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vertical="center"/>
    </xf>
    <xf numFmtId="0" fontId="11" fillId="5" borderId="1" xfId="1" applyFont="1" applyFill="1" applyBorder="1" applyAlignment="1">
      <alignment horizontal="center" vertical="center"/>
    </xf>
    <xf numFmtId="0" fontId="10" fillId="9" borderId="0" xfId="0" applyFont="1" applyFill="1" applyAlignment="1">
      <alignment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000066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17</xdr:row>
      <xdr:rowOff>114300</xdr:rowOff>
    </xdr:from>
    <xdr:to>
      <xdr:col>10</xdr:col>
      <xdr:colOff>104775</xdr:colOff>
      <xdr:row>25</xdr:row>
      <xdr:rowOff>66675</xdr:rowOff>
    </xdr:to>
    <xdr:sp macro="[0]!formato_campos" textlink="">
      <xdr:nvSpPr>
        <xdr:cNvPr id="2" name="Rectángulo 1">
          <a:extLst>
            <a:ext uri="{FF2B5EF4-FFF2-40B4-BE49-F238E27FC236}">
              <a16:creationId xmlns:a16="http://schemas.microsoft.com/office/drawing/2014/main" id="{B927D2BD-0876-5E38-1E3E-A16C76708760}"/>
            </a:ext>
          </a:extLst>
        </xdr:cNvPr>
        <xdr:cNvSpPr/>
      </xdr:nvSpPr>
      <xdr:spPr>
        <a:xfrm>
          <a:off x="3638550" y="3190875"/>
          <a:ext cx="3390900" cy="14001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11</xdr:col>
      <xdr:colOff>742950</xdr:colOff>
      <xdr:row>16</xdr:row>
      <xdr:rowOff>152400</xdr:rowOff>
    </xdr:from>
    <xdr:to>
      <xdr:col>13</xdr:col>
      <xdr:colOff>638175</xdr:colOff>
      <xdr:row>28</xdr:row>
      <xdr:rowOff>76200</xdr:rowOff>
    </xdr:to>
    <xdr:sp macro="[0]!borrar_formato_campos" textlink="">
      <xdr:nvSpPr>
        <xdr:cNvPr id="3" name="Triángulo isósceles 2">
          <a:extLst>
            <a:ext uri="{FF2B5EF4-FFF2-40B4-BE49-F238E27FC236}">
              <a16:creationId xmlns:a16="http://schemas.microsoft.com/office/drawing/2014/main" id="{A697D156-817A-4D2E-E6D3-69121F4C6A63}"/>
            </a:ext>
          </a:extLst>
        </xdr:cNvPr>
        <xdr:cNvSpPr/>
      </xdr:nvSpPr>
      <xdr:spPr>
        <a:xfrm>
          <a:off x="9105900" y="3048000"/>
          <a:ext cx="2714625" cy="2095500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P451"/>
  <sheetViews>
    <sheetView showGridLines="0" zoomScale="70" zoomScaleNormal="70" workbookViewId="0">
      <pane ySplit="1" topLeftCell="A2" activePane="bottomLeft" state="frozen"/>
      <selection pane="bottomLeft" activeCell="K3" sqref="K3"/>
    </sheetView>
  </sheetViews>
  <sheetFormatPr baseColWidth="10" defaultColWidth="11.42578125" defaultRowHeight="12.75" x14ac:dyDescent="0.25"/>
  <cols>
    <col min="1" max="1" width="16.85546875" style="1" bestFit="1" customWidth="1"/>
    <col min="2" max="2" width="39.28515625" style="1" bestFit="1" customWidth="1"/>
    <col min="3" max="3" width="13" style="1" bestFit="1" customWidth="1"/>
    <col min="4" max="4" width="16.7109375" style="1" bestFit="1" customWidth="1"/>
    <col min="5" max="5" width="18.7109375" style="1" bestFit="1" customWidth="1"/>
    <col min="6" max="6" width="42.140625" style="1" bestFit="1" customWidth="1"/>
    <col min="7" max="7" width="23.5703125" style="1" bestFit="1" customWidth="1"/>
    <col min="8" max="8" width="21" style="1" bestFit="1" customWidth="1"/>
    <col min="9" max="9" width="18.140625" style="1" bestFit="1" customWidth="1"/>
    <col min="10" max="10" width="19" style="1" bestFit="1" customWidth="1"/>
    <col min="11" max="11" width="34" style="1" bestFit="1" customWidth="1"/>
    <col min="12" max="12" width="35.28515625" style="1" bestFit="1" customWidth="1"/>
    <col min="13" max="13" width="32.5703125" style="1" bestFit="1" customWidth="1"/>
    <col min="14" max="14" width="33.5703125" style="1" bestFit="1" customWidth="1"/>
    <col min="15" max="16384" width="11.42578125" style="1"/>
  </cols>
  <sheetData>
    <row r="1" spans="1:16" ht="15" x14ac:dyDescent="0.25">
      <c r="A1" s="22" t="s">
        <v>1</v>
      </c>
      <c r="B1" s="22" t="s">
        <v>2</v>
      </c>
      <c r="C1" s="22" t="s">
        <v>420</v>
      </c>
      <c r="D1" s="22" t="s">
        <v>421</v>
      </c>
      <c r="E1" s="22" t="s">
        <v>98</v>
      </c>
      <c r="F1" s="22" t="s">
        <v>422</v>
      </c>
      <c r="G1" s="22" t="s">
        <v>423</v>
      </c>
      <c r="H1" s="22" t="s">
        <v>97</v>
      </c>
      <c r="I1" s="22" t="s">
        <v>95</v>
      </c>
      <c r="J1" s="22" t="s">
        <v>3</v>
      </c>
      <c r="K1" s="22" t="s">
        <v>4</v>
      </c>
      <c r="L1" s="22" t="s">
        <v>93</v>
      </c>
      <c r="M1" s="22" t="s">
        <v>94</v>
      </c>
      <c r="N1" s="22" t="s">
        <v>96</v>
      </c>
    </row>
    <row r="2" spans="1:16" x14ac:dyDescent="0.25">
      <c r="A2" s="3" t="str">
        <f t="shared" ref="A2:A65" si="0">+CONCATENATE(LEFT(B2,2),RIGHT(B2,3),MONTH(G2),DAY(G2))</f>
        <v>CANDO41</v>
      </c>
      <c r="B2" s="3" t="s">
        <v>10</v>
      </c>
      <c r="C2" s="3" t="s">
        <v>147</v>
      </c>
      <c r="D2" s="3" t="s">
        <v>104</v>
      </c>
      <c r="E2" s="3" t="s">
        <v>100</v>
      </c>
      <c r="F2" s="3" t="s">
        <v>197</v>
      </c>
      <c r="G2" s="4" t="s">
        <v>130</v>
      </c>
      <c r="H2" s="7"/>
      <c r="I2" s="4" t="s">
        <v>89</v>
      </c>
      <c r="J2" s="4" t="s">
        <v>784</v>
      </c>
      <c r="K2" s="6">
        <f>+IF(H2&gt;0,10%*930,0)</f>
        <v>0</v>
      </c>
      <c r="L2" s="6">
        <f>+J2+K2</f>
        <v>2800</v>
      </c>
      <c r="M2" s="6">
        <f>+VLOOKUP(I2,Pensión!$A$4:$E$7,5,0)*L2</f>
        <v>364</v>
      </c>
      <c r="N2" s="6">
        <f>+L2-M2</f>
        <v>2436</v>
      </c>
      <c r="P2" s="4" t="s">
        <v>784</v>
      </c>
    </row>
    <row r="3" spans="1:16" x14ac:dyDescent="0.25">
      <c r="A3" s="3" t="str">
        <f t="shared" si="0"/>
        <v>ESUEL101</v>
      </c>
      <c r="B3" s="3" t="s">
        <v>13</v>
      </c>
      <c r="C3" s="3" t="s">
        <v>147</v>
      </c>
      <c r="D3" s="3" t="s">
        <v>105</v>
      </c>
      <c r="E3" s="3" t="s">
        <v>100</v>
      </c>
      <c r="F3" s="3" t="s">
        <v>197</v>
      </c>
      <c r="G3" s="4" t="s">
        <v>437</v>
      </c>
      <c r="H3" s="7">
        <v>1</v>
      </c>
      <c r="I3" s="4" t="s">
        <v>90</v>
      </c>
      <c r="J3" s="4" t="s">
        <v>785</v>
      </c>
      <c r="K3" s="6"/>
      <c r="L3" s="6"/>
      <c r="M3" s="6"/>
      <c r="N3" s="6"/>
      <c r="P3" s="4" t="s">
        <v>785</v>
      </c>
    </row>
    <row r="4" spans="1:16" x14ac:dyDescent="0.25">
      <c r="A4" s="3" t="str">
        <f t="shared" si="0"/>
        <v>OLRTO110</v>
      </c>
      <c r="B4" s="3" t="s">
        <v>15</v>
      </c>
      <c r="C4" s="3" t="s">
        <v>147</v>
      </c>
      <c r="D4" s="3" t="s">
        <v>103</v>
      </c>
      <c r="E4" s="3" t="s">
        <v>100</v>
      </c>
      <c r="F4" s="3" t="s">
        <v>197</v>
      </c>
      <c r="G4" s="4" t="s">
        <v>538</v>
      </c>
      <c r="H4" s="7"/>
      <c r="I4" s="4" t="s">
        <v>90</v>
      </c>
      <c r="J4" s="4" t="s">
        <v>786</v>
      </c>
      <c r="K4" s="6"/>
      <c r="L4" s="6"/>
      <c r="M4" s="6"/>
      <c r="N4" s="6"/>
      <c r="P4" s="4" t="s">
        <v>786</v>
      </c>
    </row>
    <row r="5" spans="1:16" x14ac:dyDescent="0.25">
      <c r="A5" s="3" t="str">
        <f t="shared" si="0"/>
        <v>ARRDO21</v>
      </c>
      <c r="B5" s="3" t="s">
        <v>19</v>
      </c>
      <c r="C5" s="3" t="s">
        <v>147</v>
      </c>
      <c r="D5" s="3" t="s">
        <v>103</v>
      </c>
      <c r="E5" s="3" t="s">
        <v>101</v>
      </c>
      <c r="F5" s="3" t="s">
        <v>162</v>
      </c>
      <c r="G5" s="4" t="s">
        <v>119</v>
      </c>
      <c r="H5" s="7">
        <v>1</v>
      </c>
      <c r="I5" s="4" t="s">
        <v>91</v>
      </c>
      <c r="J5" s="4" t="s">
        <v>787</v>
      </c>
      <c r="K5" s="6"/>
      <c r="L5" s="6"/>
      <c r="M5" s="6"/>
      <c r="N5" s="6"/>
      <c r="P5" s="4" t="s">
        <v>787</v>
      </c>
    </row>
    <row r="6" spans="1:16" x14ac:dyDescent="0.25">
      <c r="A6" s="3" t="str">
        <f t="shared" si="0"/>
        <v>ESRTO101</v>
      </c>
      <c r="B6" s="3" t="s">
        <v>23</v>
      </c>
      <c r="C6" s="3" t="s">
        <v>147</v>
      </c>
      <c r="D6" s="3" t="s">
        <v>150</v>
      </c>
      <c r="E6" s="3" t="s">
        <v>101</v>
      </c>
      <c r="F6" s="3" t="s">
        <v>162</v>
      </c>
      <c r="G6" s="4" t="s">
        <v>437</v>
      </c>
      <c r="H6" s="7"/>
      <c r="I6" s="4" t="s">
        <v>92</v>
      </c>
      <c r="J6" s="4" t="s">
        <v>788</v>
      </c>
      <c r="K6" s="6"/>
      <c r="L6" s="6"/>
      <c r="M6" s="6"/>
      <c r="N6" s="6"/>
      <c r="P6" s="4" t="s">
        <v>788</v>
      </c>
    </row>
    <row r="7" spans="1:16" x14ac:dyDescent="0.25">
      <c r="A7" s="3" t="str">
        <f t="shared" si="0"/>
        <v>GUSAR53</v>
      </c>
      <c r="B7" s="3" t="s">
        <v>24</v>
      </c>
      <c r="C7" s="3" t="s">
        <v>147</v>
      </c>
      <c r="D7" s="3" t="s">
        <v>103</v>
      </c>
      <c r="E7" s="3" t="s">
        <v>101</v>
      </c>
      <c r="F7" s="3" t="s">
        <v>162</v>
      </c>
      <c r="G7" s="4" t="s">
        <v>454</v>
      </c>
      <c r="H7" s="7">
        <v>4</v>
      </c>
      <c r="I7" s="4" t="s">
        <v>91</v>
      </c>
      <c r="J7" s="4" t="s">
        <v>789</v>
      </c>
      <c r="K7" s="6"/>
      <c r="L7" s="6"/>
      <c r="M7" s="6"/>
      <c r="N7" s="6"/>
      <c r="P7" s="4" t="s">
        <v>789</v>
      </c>
    </row>
    <row r="8" spans="1:16" x14ac:dyDescent="0.25">
      <c r="A8" s="3" t="str">
        <f t="shared" si="0"/>
        <v>HOAUL44</v>
      </c>
      <c r="B8" s="3" t="s">
        <v>25</v>
      </c>
      <c r="C8" s="3" t="s">
        <v>147</v>
      </c>
      <c r="D8" s="3" t="s">
        <v>105</v>
      </c>
      <c r="E8" s="3" t="s">
        <v>101</v>
      </c>
      <c r="F8" s="3" t="s">
        <v>162</v>
      </c>
      <c r="G8" s="4" t="s">
        <v>465</v>
      </c>
      <c r="H8" s="7"/>
      <c r="I8" s="4" t="s">
        <v>89</v>
      </c>
      <c r="J8" s="4" t="s">
        <v>789</v>
      </c>
      <c r="K8" s="6"/>
      <c r="L8" s="6"/>
      <c r="M8" s="6"/>
      <c r="N8" s="6"/>
      <c r="P8" s="4" t="s">
        <v>789</v>
      </c>
    </row>
    <row r="9" spans="1:16" x14ac:dyDescent="0.25">
      <c r="A9" s="3" t="str">
        <f t="shared" si="0"/>
        <v>MEQUE58</v>
      </c>
      <c r="B9" s="3" t="s">
        <v>29</v>
      </c>
      <c r="C9" s="3" t="s">
        <v>147</v>
      </c>
      <c r="D9" s="3" t="s">
        <v>150</v>
      </c>
      <c r="E9" s="3" t="s">
        <v>101</v>
      </c>
      <c r="F9" s="3" t="s">
        <v>162</v>
      </c>
      <c r="G9" s="4" t="s">
        <v>523</v>
      </c>
      <c r="H9" s="7">
        <v>1</v>
      </c>
      <c r="I9" s="4" t="s">
        <v>91</v>
      </c>
      <c r="J9" s="4" t="s">
        <v>789</v>
      </c>
      <c r="K9" s="6"/>
      <c r="L9" s="6"/>
      <c r="M9" s="6"/>
      <c r="N9" s="6"/>
      <c r="P9" s="4" t="s">
        <v>789</v>
      </c>
    </row>
    <row r="10" spans="1:16" x14ac:dyDescent="0.25">
      <c r="A10" s="3" t="str">
        <f t="shared" si="0"/>
        <v>NOUAN69</v>
      </c>
      <c r="B10" s="3" t="s">
        <v>30</v>
      </c>
      <c r="C10" s="3" t="s">
        <v>147</v>
      </c>
      <c r="D10" s="3" t="s">
        <v>104</v>
      </c>
      <c r="E10" s="3" t="s">
        <v>101</v>
      </c>
      <c r="F10" s="3" t="s">
        <v>162</v>
      </c>
      <c r="G10" s="4" t="s">
        <v>530</v>
      </c>
      <c r="H10" s="7">
        <v>1</v>
      </c>
      <c r="I10" s="4" t="s">
        <v>89</v>
      </c>
      <c r="J10" s="4" t="s">
        <v>789</v>
      </c>
      <c r="K10" s="6"/>
      <c r="L10" s="6"/>
      <c r="M10" s="6"/>
      <c r="N10" s="6"/>
      <c r="P10" s="4" t="s">
        <v>789</v>
      </c>
    </row>
    <row r="11" spans="1:16" x14ac:dyDescent="0.25">
      <c r="A11" s="3" t="str">
        <f t="shared" si="0"/>
        <v>PACOS910</v>
      </c>
      <c r="B11" s="3" t="s">
        <v>32</v>
      </c>
      <c r="C11" s="3" t="s">
        <v>147</v>
      </c>
      <c r="D11" s="3" t="s">
        <v>103</v>
      </c>
      <c r="E11" s="3" t="s">
        <v>101</v>
      </c>
      <c r="F11" s="3" t="s">
        <v>162</v>
      </c>
      <c r="G11" s="4" t="s">
        <v>551</v>
      </c>
      <c r="H11" s="7">
        <v>2</v>
      </c>
      <c r="I11" s="4" t="s">
        <v>92</v>
      </c>
      <c r="J11" s="4" t="s">
        <v>789</v>
      </c>
      <c r="K11" s="6"/>
      <c r="L11" s="6"/>
      <c r="M11" s="6"/>
      <c r="N11" s="6"/>
      <c r="P11" s="4" t="s">
        <v>789</v>
      </c>
    </row>
    <row r="12" spans="1:16" x14ac:dyDescent="0.25">
      <c r="A12" s="3" t="str">
        <f t="shared" si="0"/>
        <v>RANDO713</v>
      </c>
      <c r="B12" s="3" t="s">
        <v>656</v>
      </c>
      <c r="C12" s="3" t="s">
        <v>147</v>
      </c>
      <c r="D12" s="3" t="s">
        <v>150</v>
      </c>
      <c r="E12" s="3" t="s">
        <v>101</v>
      </c>
      <c r="F12" s="3" t="s">
        <v>162</v>
      </c>
      <c r="G12" s="4" t="s">
        <v>587</v>
      </c>
      <c r="H12" s="7"/>
      <c r="I12" s="4" t="s">
        <v>91</v>
      </c>
      <c r="J12" s="4" t="s">
        <v>790</v>
      </c>
      <c r="K12" s="6"/>
      <c r="L12" s="6"/>
      <c r="M12" s="6"/>
      <c r="N12" s="6"/>
      <c r="P12" s="4" t="s">
        <v>790</v>
      </c>
    </row>
    <row r="13" spans="1:16" x14ac:dyDescent="0.25">
      <c r="A13" s="3" t="str">
        <f t="shared" si="0"/>
        <v>RODEL515</v>
      </c>
      <c r="B13" s="3" t="s">
        <v>34</v>
      </c>
      <c r="C13" s="3" t="s">
        <v>147</v>
      </c>
      <c r="D13" s="3" t="s">
        <v>105</v>
      </c>
      <c r="E13" s="3" t="s">
        <v>101</v>
      </c>
      <c r="F13" s="3" t="s">
        <v>162</v>
      </c>
      <c r="G13" s="4" t="s">
        <v>617</v>
      </c>
      <c r="H13" s="7"/>
      <c r="I13" s="4" t="s">
        <v>90</v>
      </c>
      <c r="J13" s="4" t="s">
        <v>788</v>
      </c>
      <c r="K13" s="6"/>
      <c r="L13" s="6"/>
      <c r="M13" s="6"/>
      <c r="N13" s="6"/>
      <c r="P13" s="4" t="s">
        <v>788</v>
      </c>
    </row>
    <row r="14" spans="1:16" x14ac:dyDescent="0.25">
      <c r="A14" s="3" t="str">
        <f t="shared" si="0"/>
        <v>ALUTH11</v>
      </c>
      <c r="B14" s="3" t="s">
        <v>643</v>
      </c>
      <c r="C14" s="3" t="s">
        <v>157</v>
      </c>
      <c r="D14" s="3" t="s">
        <v>104</v>
      </c>
      <c r="E14" s="3" t="s">
        <v>100</v>
      </c>
      <c r="F14" s="3" t="s">
        <v>158</v>
      </c>
      <c r="G14" s="4" t="s">
        <v>115</v>
      </c>
      <c r="H14" s="7">
        <v>4</v>
      </c>
      <c r="I14" s="4" t="s">
        <v>89</v>
      </c>
      <c r="J14" s="4" t="s">
        <v>788</v>
      </c>
      <c r="K14" s="6"/>
      <c r="L14" s="6"/>
      <c r="M14" s="6"/>
      <c r="N14" s="6"/>
      <c r="P14" s="4" t="s">
        <v>788</v>
      </c>
    </row>
    <row r="15" spans="1:16" x14ac:dyDescent="0.25">
      <c r="A15" s="3" t="str">
        <f t="shared" si="0"/>
        <v>ARCIO11</v>
      </c>
      <c r="B15" s="3" t="s">
        <v>644</v>
      </c>
      <c r="C15" s="3" t="s">
        <v>157</v>
      </c>
      <c r="D15" s="3" t="s">
        <v>150</v>
      </c>
      <c r="E15" s="3" t="s">
        <v>100</v>
      </c>
      <c r="F15" s="3" t="s">
        <v>158</v>
      </c>
      <c r="G15" s="4" t="s">
        <v>118</v>
      </c>
      <c r="H15" s="7"/>
      <c r="I15" s="4" t="s">
        <v>89</v>
      </c>
      <c r="J15" s="4" t="s">
        <v>790</v>
      </c>
      <c r="K15" s="6"/>
      <c r="L15" s="6"/>
      <c r="M15" s="6"/>
      <c r="N15" s="6"/>
      <c r="P15" s="4" t="s">
        <v>790</v>
      </c>
    </row>
    <row r="16" spans="1:16" x14ac:dyDescent="0.25">
      <c r="A16" s="3" t="str">
        <f t="shared" si="0"/>
        <v>CARIN41</v>
      </c>
      <c r="B16" s="3" t="s">
        <v>645</v>
      </c>
      <c r="C16" s="3" t="s">
        <v>157</v>
      </c>
      <c r="D16" s="3" t="s">
        <v>104</v>
      </c>
      <c r="E16" s="3" t="s">
        <v>100</v>
      </c>
      <c r="F16" s="3" t="s">
        <v>158</v>
      </c>
      <c r="G16" s="4" t="s">
        <v>130</v>
      </c>
      <c r="H16" s="7">
        <v>3</v>
      </c>
      <c r="I16" s="4" t="s">
        <v>89</v>
      </c>
      <c r="J16" s="4" t="s">
        <v>789</v>
      </c>
      <c r="K16" s="6"/>
      <c r="L16" s="6"/>
      <c r="M16" s="6"/>
      <c r="N16" s="6"/>
      <c r="P16" s="4" t="s">
        <v>789</v>
      </c>
    </row>
    <row r="17" spans="1:16" x14ac:dyDescent="0.25">
      <c r="A17" s="3" t="str">
        <f t="shared" si="0"/>
        <v>CANDO41</v>
      </c>
      <c r="B17" s="3" t="s">
        <v>9</v>
      </c>
      <c r="C17" s="3" t="s">
        <v>147</v>
      </c>
      <c r="D17" s="3" t="s">
        <v>103</v>
      </c>
      <c r="E17" s="3" t="s">
        <v>100</v>
      </c>
      <c r="F17" s="3" t="s">
        <v>158</v>
      </c>
      <c r="G17" s="4" t="s">
        <v>130</v>
      </c>
      <c r="H17" s="7"/>
      <c r="I17" s="4" t="s">
        <v>91</v>
      </c>
      <c r="J17" s="4" t="s">
        <v>791</v>
      </c>
      <c r="K17" s="6"/>
      <c r="L17" s="6"/>
      <c r="M17" s="6"/>
      <c r="N17" s="6"/>
      <c r="P17" s="4" t="s">
        <v>791</v>
      </c>
    </row>
    <row r="18" spans="1:16" x14ac:dyDescent="0.25">
      <c r="A18" s="3" t="str">
        <f t="shared" si="0"/>
        <v>ESELA101</v>
      </c>
      <c r="B18" s="3" t="s">
        <v>646</v>
      </c>
      <c r="C18" s="3" t="s">
        <v>157</v>
      </c>
      <c r="D18" s="3" t="s">
        <v>105</v>
      </c>
      <c r="E18" s="3" t="s">
        <v>100</v>
      </c>
      <c r="F18" s="3" t="s">
        <v>158</v>
      </c>
      <c r="G18" s="4" t="s">
        <v>437</v>
      </c>
      <c r="H18" s="7">
        <v>1</v>
      </c>
      <c r="I18" s="4" t="s">
        <v>91</v>
      </c>
      <c r="J18" s="4" t="s">
        <v>792</v>
      </c>
      <c r="K18" s="6"/>
      <c r="L18" s="6"/>
      <c r="M18" s="6"/>
      <c r="N18" s="6"/>
      <c r="P18" s="4" t="s">
        <v>792</v>
      </c>
    </row>
    <row r="19" spans="1:16" x14ac:dyDescent="0.25">
      <c r="A19" s="3" t="str">
        <f t="shared" si="0"/>
        <v>GUBEN122</v>
      </c>
      <c r="B19" s="3" t="s">
        <v>14</v>
      </c>
      <c r="C19" s="3" t="s">
        <v>147</v>
      </c>
      <c r="D19" s="3" t="s">
        <v>103</v>
      </c>
      <c r="E19" s="3" t="s">
        <v>100</v>
      </c>
      <c r="F19" s="3" t="s">
        <v>158</v>
      </c>
      <c r="G19" s="4" t="s">
        <v>452</v>
      </c>
      <c r="H19" s="7"/>
      <c r="I19" s="4" t="s">
        <v>91</v>
      </c>
      <c r="J19" s="4" t="s">
        <v>788</v>
      </c>
      <c r="K19" s="6"/>
      <c r="L19" s="6"/>
      <c r="M19" s="6"/>
      <c r="N19" s="6"/>
      <c r="P19" s="4" t="s">
        <v>788</v>
      </c>
    </row>
    <row r="20" spans="1:16" x14ac:dyDescent="0.25">
      <c r="A20" s="3" t="str">
        <f t="shared" si="0"/>
        <v>ALYDA11</v>
      </c>
      <c r="B20" s="3" t="s">
        <v>679</v>
      </c>
      <c r="C20" s="3" t="s">
        <v>157</v>
      </c>
      <c r="D20" s="3" t="s">
        <v>150</v>
      </c>
      <c r="E20" s="3" t="s">
        <v>99</v>
      </c>
      <c r="F20" s="3" t="s">
        <v>159</v>
      </c>
      <c r="G20" s="4" t="s">
        <v>117</v>
      </c>
      <c r="H20" s="7"/>
      <c r="I20" s="4" t="s">
        <v>89</v>
      </c>
      <c r="J20" s="4" t="s">
        <v>793</v>
      </c>
      <c r="K20" s="6"/>
      <c r="L20" s="6"/>
      <c r="M20" s="6"/>
      <c r="N20" s="6"/>
      <c r="P20" s="4" t="s">
        <v>793</v>
      </c>
    </row>
    <row r="21" spans="1:16" x14ac:dyDescent="0.25">
      <c r="A21" s="3" t="str">
        <f t="shared" si="0"/>
        <v>BEGEL41</v>
      </c>
      <c r="B21" s="3" t="s">
        <v>685</v>
      </c>
      <c r="C21" s="3" t="s">
        <v>147</v>
      </c>
      <c r="D21" s="3" t="s">
        <v>105</v>
      </c>
      <c r="E21" s="3" t="s">
        <v>99</v>
      </c>
      <c r="F21" s="3" t="s">
        <v>159</v>
      </c>
      <c r="G21" s="4" t="s">
        <v>127</v>
      </c>
      <c r="H21" s="7">
        <v>4</v>
      </c>
      <c r="I21" s="4" t="s">
        <v>90</v>
      </c>
      <c r="J21" s="4" t="s">
        <v>786</v>
      </c>
      <c r="K21" s="6"/>
      <c r="L21" s="6"/>
      <c r="M21" s="6"/>
      <c r="N21" s="6"/>
      <c r="P21" s="4" t="s">
        <v>786</v>
      </c>
    </row>
    <row r="22" spans="1:16" x14ac:dyDescent="0.25">
      <c r="A22" s="3" t="str">
        <f t="shared" si="0"/>
        <v>CORMA71</v>
      </c>
      <c r="B22" s="3" t="s">
        <v>217</v>
      </c>
      <c r="C22" s="3" t="s">
        <v>157</v>
      </c>
      <c r="D22" s="3" t="s">
        <v>103</v>
      </c>
      <c r="E22" s="3" t="s">
        <v>99</v>
      </c>
      <c r="F22" s="3" t="s">
        <v>159</v>
      </c>
      <c r="G22" s="4" t="s">
        <v>143</v>
      </c>
      <c r="H22" s="7"/>
      <c r="I22" s="4" t="s">
        <v>89</v>
      </c>
      <c r="J22" s="4" t="s">
        <v>794</v>
      </c>
      <c r="K22" s="6"/>
      <c r="L22" s="6"/>
      <c r="M22" s="6"/>
      <c r="N22" s="6"/>
      <c r="P22" s="4" t="s">
        <v>794</v>
      </c>
    </row>
    <row r="23" spans="1:16" x14ac:dyDescent="0.25">
      <c r="A23" s="3" t="str">
        <f t="shared" si="0"/>
        <v>CUDYS81</v>
      </c>
      <c r="B23" s="3" t="s">
        <v>224</v>
      </c>
      <c r="C23" s="3" t="s">
        <v>157</v>
      </c>
      <c r="D23" s="3" t="s">
        <v>105</v>
      </c>
      <c r="E23" s="3" t="s">
        <v>99</v>
      </c>
      <c r="F23" s="3" t="s">
        <v>159</v>
      </c>
      <c r="G23" s="4" t="s">
        <v>145</v>
      </c>
      <c r="H23" s="7">
        <v>3</v>
      </c>
      <c r="I23" s="4" t="s">
        <v>91</v>
      </c>
      <c r="J23" s="4" t="s">
        <v>794</v>
      </c>
      <c r="K23" s="6"/>
      <c r="L23" s="6"/>
      <c r="M23" s="6"/>
      <c r="N23" s="6"/>
      <c r="P23" s="4" t="s">
        <v>794</v>
      </c>
    </row>
    <row r="24" spans="1:16" x14ac:dyDescent="0.25">
      <c r="A24" s="3" t="str">
        <f t="shared" si="0"/>
        <v>ALUIS11</v>
      </c>
      <c r="B24" s="3" t="s">
        <v>76</v>
      </c>
      <c r="C24" s="3" t="s">
        <v>147</v>
      </c>
      <c r="D24" s="3" t="s">
        <v>103</v>
      </c>
      <c r="E24" s="3" t="s">
        <v>99</v>
      </c>
      <c r="F24" s="3" t="s">
        <v>156</v>
      </c>
      <c r="G24" s="4" t="s">
        <v>115</v>
      </c>
      <c r="H24" s="7">
        <v>2</v>
      </c>
      <c r="I24" s="4" t="s">
        <v>89</v>
      </c>
      <c r="J24" s="4" t="s">
        <v>795</v>
      </c>
      <c r="K24" s="6"/>
      <c r="L24" s="6"/>
      <c r="M24" s="6"/>
      <c r="N24" s="6"/>
      <c r="P24" s="4" t="s">
        <v>795</v>
      </c>
    </row>
    <row r="25" spans="1:16" x14ac:dyDescent="0.25">
      <c r="A25" s="3" t="str">
        <f t="shared" si="0"/>
        <v>COAIN51</v>
      </c>
      <c r="B25" s="3" t="s">
        <v>209</v>
      </c>
      <c r="C25" s="3" t="s">
        <v>147</v>
      </c>
      <c r="D25" s="3" t="s">
        <v>103</v>
      </c>
      <c r="E25" s="3" t="s">
        <v>99</v>
      </c>
      <c r="F25" s="3" t="s">
        <v>156</v>
      </c>
      <c r="G25" s="4" t="s">
        <v>135</v>
      </c>
      <c r="H25" s="7">
        <v>3</v>
      </c>
      <c r="I25" s="4" t="s">
        <v>92</v>
      </c>
      <c r="J25" s="4" t="s">
        <v>796</v>
      </c>
      <c r="K25" s="6"/>
      <c r="L25" s="6"/>
      <c r="M25" s="6"/>
      <c r="N25" s="6"/>
      <c r="P25" s="4" t="s">
        <v>796</v>
      </c>
    </row>
    <row r="26" spans="1:16" x14ac:dyDescent="0.25">
      <c r="A26" s="3" t="str">
        <f t="shared" si="0"/>
        <v>RALOS713</v>
      </c>
      <c r="B26" s="3" t="s">
        <v>378</v>
      </c>
      <c r="C26" s="3" t="s">
        <v>147</v>
      </c>
      <c r="D26" s="3" t="s">
        <v>105</v>
      </c>
      <c r="E26" s="3" t="s">
        <v>99</v>
      </c>
      <c r="F26" s="3" t="s">
        <v>156</v>
      </c>
      <c r="G26" s="4" t="s">
        <v>587</v>
      </c>
      <c r="H26" s="7"/>
      <c r="I26" s="4" t="s">
        <v>91</v>
      </c>
      <c r="J26" s="4" t="s">
        <v>796</v>
      </c>
      <c r="K26" s="6"/>
      <c r="L26" s="6"/>
      <c r="M26" s="6"/>
      <c r="N26" s="6"/>
      <c r="P26" s="4" t="s">
        <v>796</v>
      </c>
    </row>
    <row r="27" spans="1:16" x14ac:dyDescent="0.25">
      <c r="A27" s="3" t="str">
        <f t="shared" si="0"/>
        <v>ALLIA11</v>
      </c>
      <c r="B27" s="3" t="s">
        <v>18</v>
      </c>
      <c r="C27" s="3" t="s">
        <v>157</v>
      </c>
      <c r="D27" s="3" t="s">
        <v>104</v>
      </c>
      <c r="E27" s="3" t="s">
        <v>101</v>
      </c>
      <c r="F27" s="3" t="s">
        <v>160</v>
      </c>
      <c r="G27" s="4" t="s">
        <v>115</v>
      </c>
      <c r="H27" s="7">
        <v>1</v>
      </c>
      <c r="I27" s="4" t="s">
        <v>91</v>
      </c>
      <c r="J27" s="4" t="s">
        <v>793</v>
      </c>
      <c r="K27" s="6"/>
      <c r="L27" s="6"/>
      <c r="M27" s="6"/>
      <c r="N27" s="6"/>
      <c r="P27" s="4" t="s">
        <v>793</v>
      </c>
    </row>
    <row r="28" spans="1:16" x14ac:dyDescent="0.25">
      <c r="A28" s="3" t="str">
        <f t="shared" si="0"/>
        <v>DOEIL91</v>
      </c>
      <c r="B28" s="3" t="s">
        <v>22</v>
      </c>
      <c r="C28" s="3" t="s">
        <v>147</v>
      </c>
      <c r="D28" s="3" t="s">
        <v>103</v>
      </c>
      <c r="E28" s="3" t="s">
        <v>101</v>
      </c>
      <c r="F28" s="3" t="s">
        <v>160</v>
      </c>
      <c r="G28" s="4" t="s">
        <v>429</v>
      </c>
      <c r="H28" s="7">
        <v>1</v>
      </c>
      <c r="I28" s="4" t="s">
        <v>90</v>
      </c>
      <c r="J28" s="4" t="s">
        <v>793</v>
      </c>
      <c r="K28" s="6"/>
      <c r="L28" s="6"/>
      <c r="M28" s="6"/>
      <c r="N28" s="6"/>
      <c r="P28" s="4" t="s">
        <v>793</v>
      </c>
    </row>
    <row r="29" spans="1:16" x14ac:dyDescent="0.25">
      <c r="A29" s="3" t="str">
        <f t="shared" si="0"/>
        <v>ESIME101</v>
      </c>
      <c r="B29" s="3" t="s">
        <v>651</v>
      </c>
      <c r="C29" s="3" t="s">
        <v>147</v>
      </c>
      <c r="D29" s="3" t="s">
        <v>105</v>
      </c>
      <c r="E29" s="3" t="s">
        <v>101</v>
      </c>
      <c r="F29" s="3" t="s">
        <v>160</v>
      </c>
      <c r="G29" s="4" t="s">
        <v>437</v>
      </c>
      <c r="H29" s="7"/>
      <c r="I29" s="4" t="s">
        <v>91</v>
      </c>
      <c r="J29" s="4" t="s">
        <v>797</v>
      </c>
      <c r="K29" s="6"/>
      <c r="L29" s="6"/>
      <c r="M29" s="6"/>
      <c r="N29" s="6"/>
      <c r="P29" s="4" t="s">
        <v>797</v>
      </c>
    </row>
    <row r="30" spans="1:16" x14ac:dyDescent="0.25">
      <c r="A30" s="3" t="str">
        <f t="shared" si="0"/>
        <v>MAEMI67</v>
      </c>
      <c r="B30" s="3" t="s">
        <v>28</v>
      </c>
      <c r="C30" s="3" t="s">
        <v>157</v>
      </c>
      <c r="D30" s="3" t="s">
        <v>150</v>
      </c>
      <c r="E30" s="3" t="s">
        <v>101</v>
      </c>
      <c r="F30" s="3" t="s">
        <v>160</v>
      </c>
      <c r="G30" s="4" t="s">
        <v>508</v>
      </c>
      <c r="H30" s="7"/>
      <c r="I30" s="4" t="s">
        <v>91</v>
      </c>
      <c r="J30" s="4" t="s">
        <v>794</v>
      </c>
      <c r="K30" s="6"/>
      <c r="L30" s="6"/>
      <c r="M30" s="6"/>
      <c r="N30" s="6"/>
      <c r="P30" s="4" t="s">
        <v>794</v>
      </c>
    </row>
    <row r="31" spans="1:16" x14ac:dyDescent="0.25">
      <c r="A31" s="3" t="str">
        <f t="shared" si="0"/>
        <v>ARPIO21</v>
      </c>
      <c r="B31" s="3" t="s">
        <v>8</v>
      </c>
      <c r="C31" s="3" t="s">
        <v>147</v>
      </c>
      <c r="D31" s="3" t="s">
        <v>104</v>
      </c>
      <c r="E31" s="3" t="s">
        <v>100</v>
      </c>
      <c r="F31" s="3" t="s">
        <v>164</v>
      </c>
      <c r="G31" s="4" t="s">
        <v>116</v>
      </c>
      <c r="H31" s="7"/>
      <c r="I31" s="4" t="s">
        <v>90</v>
      </c>
      <c r="J31" s="4" t="s">
        <v>798</v>
      </c>
      <c r="K31" s="6"/>
      <c r="L31" s="6"/>
      <c r="M31" s="6"/>
      <c r="N31" s="6"/>
      <c r="P31" s="4" t="s">
        <v>798</v>
      </c>
    </row>
    <row r="32" spans="1:16" x14ac:dyDescent="0.25">
      <c r="A32" s="3" t="str">
        <f t="shared" si="0"/>
        <v>ARRDO21</v>
      </c>
      <c r="B32" s="3" t="s">
        <v>7</v>
      </c>
      <c r="C32" s="3" t="s">
        <v>147</v>
      </c>
      <c r="D32" s="3" t="s">
        <v>150</v>
      </c>
      <c r="E32" s="3" t="s">
        <v>100</v>
      </c>
      <c r="F32" s="3" t="s">
        <v>164</v>
      </c>
      <c r="G32" s="4" t="s">
        <v>116</v>
      </c>
      <c r="H32" s="7"/>
      <c r="I32" s="4" t="s">
        <v>89</v>
      </c>
      <c r="J32" s="4" t="s">
        <v>799</v>
      </c>
      <c r="K32" s="6"/>
      <c r="L32" s="6"/>
      <c r="M32" s="6"/>
      <c r="N32" s="6"/>
      <c r="P32" s="4" t="s">
        <v>799</v>
      </c>
    </row>
    <row r="33" spans="1:16" x14ac:dyDescent="0.25">
      <c r="A33" s="3" t="str">
        <f t="shared" si="0"/>
        <v>ARLMO21</v>
      </c>
      <c r="B33" s="3" t="s">
        <v>5</v>
      </c>
      <c r="C33" s="3" t="s">
        <v>147</v>
      </c>
      <c r="D33" s="3" t="s">
        <v>105</v>
      </c>
      <c r="E33" s="3" t="s">
        <v>100</v>
      </c>
      <c r="F33" s="3" t="s">
        <v>164</v>
      </c>
      <c r="G33" s="4" t="s">
        <v>116</v>
      </c>
      <c r="H33" s="7">
        <v>1</v>
      </c>
      <c r="I33" s="4" t="s">
        <v>91</v>
      </c>
      <c r="J33" s="4" t="s">
        <v>799</v>
      </c>
      <c r="K33" s="6"/>
      <c r="L33" s="6"/>
      <c r="M33" s="6"/>
      <c r="N33" s="6"/>
      <c r="P33" s="4" t="s">
        <v>799</v>
      </c>
    </row>
    <row r="34" spans="1:16" x14ac:dyDescent="0.25">
      <c r="A34" s="3" t="str">
        <f t="shared" si="0"/>
        <v>ARELO21</v>
      </c>
      <c r="B34" s="3" t="s">
        <v>6</v>
      </c>
      <c r="C34" s="3" t="s">
        <v>147</v>
      </c>
      <c r="D34" s="3" t="s">
        <v>103</v>
      </c>
      <c r="E34" s="3" t="s">
        <v>100</v>
      </c>
      <c r="F34" s="3" t="s">
        <v>164</v>
      </c>
      <c r="G34" s="4" t="s">
        <v>116</v>
      </c>
      <c r="H34" s="7">
        <v>4</v>
      </c>
      <c r="I34" s="4" t="s">
        <v>89</v>
      </c>
      <c r="J34" s="4" t="s">
        <v>799</v>
      </c>
      <c r="K34" s="6"/>
      <c r="L34" s="6"/>
      <c r="M34" s="6"/>
      <c r="N34" s="6"/>
      <c r="P34" s="4" t="s">
        <v>799</v>
      </c>
    </row>
    <row r="35" spans="1:16" x14ac:dyDescent="0.25">
      <c r="A35" s="3" t="str">
        <f t="shared" si="0"/>
        <v>COTZA51</v>
      </c>
      <c r="B35" s="3" t="s">
        <v>11</v>
      </c>
      <c r="C35" s="3" t="s">
        <v>157</v>
      </c>
      <c r="D35" s="3" t="s">
        <v>103</v>
      </c>
      <c r="E35" s="3" t="s">
        <v>100</v>
      </c>
      <c r="F35" s="3" t="s">
        <v>164</v>
      </c>
      <c r="G35" s="4" t="s">
        <v>135</v>
      </c>
      <c r="H35" s="7">
        <v>1</v>
      </c>
      <c r="I35" s="4" t="s">
        <v>90</v>
      </c>
      <c r="J35" s="4" t="s">
        <v>800</v>
      </c>
      <c r="K35" s="6"/>
      <c r="L35" s="6"/>
      <c r="M35" s="6"/>
      <c r="N35" s="6"/>
      <c r="P35" s="4" t="s">
        <v>800</v>
      </c>
    </row>
    <row r="36" spans="1:16" x14ac:dyDescent="0.25">
      <c r="A36" s="3" t="str">
        <f t="shared" si="0"/>
        <v>FEOSA111</v>
      </c>
      <c r="B36" s="3" t="s">
        <v>647</v>
      </c>
      <c r="C36" s="3" t="s">
        <v>157</v>
      </c>
      <c r="D36" s="3" t="s">
        <v>105</v>
      </c>
      <c r="E36" s="3" t="s">
        <v>100</v>
      </c>
      <c r="F36" s="3" t="s">
        <v>164</v>
      </c>
      <c r="G36" s="4" t="s">
        <v>439</v>
      </c>
      <c r="H36" s="7"/>
      <c r="I36" s="4" t="s">
        <v>90</v>
      </c>
      <c r="J36" s="4" t="s">
        <v>798</v>
      </c>
      <c r="K36" s="6"/>
      <c r="L36" s="6"/>
      <c r="M36" s="6"/>
      <c r="N36" s="6"/>
      <c r="P36" s="4" t="s">
        <v>798</v>
      </c>
    </row>
    <row r="37" spans="1:16" x14ac:dyDescent="0.25">
      <c r="A37" s="3" t="str">
        <f t="shared" si="0"/>
        <v>HIYRA24</v>
      </c>
      <c r="B37" s="3" t="s">
        <v>648</v>
      </c>
      <c r="C37" s="3" t="s">
        <v>157</v>
      </c>
      <c r="D37" s="3" t="s">
        <v>104</v>
      </c>
      <c r="E37" s="3" t="s">
        <v>100</v>
      </c>
      <c r="F37" s="3" t="s">
        <v>164</v>
      </c>
      <c r="G37" s="4" t="s">
        <v>463</v>
      </c>
      <c r="H37" s="7">
        <v>2</v>
      </c>
      <c r="I37" s="4" t="s">
        <v>89</v>
      </c>
      <c r="J37" s="4" t="s">
        <v>801</v>
      </c>
      <c r="K37" s="6"/>
      <c r="L37" s="6"/>
      <c r="M37" s="6"/>
      <c r="N37" s="6"/>
      <c r="P37" s="4" t="s">
        <v>801</v>
      </c>
    </row>
    <row r="38" spans="1:16" x14ac:dyDescent="0.25">
      <c r="A38" s="3" t="str">
        <f t="shared" si="0"/>
        <v>ORELA510</v>
      </c>
      <c r="B38" s="3" t="s">
        <v>16</v>
      </c>
      <c r="C38" s="3" t="s">
        <v>157</v>
      </c>
      <c r="D38" s="3" t="s">
        <v>105</v>
      </c>
      <c r="E38" s="3" t="s">
        <v>100</v>
      </c>
      <c r="F38" s="3" t="s">
        <v>164</v>
      </c>
      <c r="G38" s="4" t="s">
        <v>544</v>
      </c>
      <c r="H38" s="7">
        <v>5</v>
      </c>
      <c r="I38" s="4" t="s">
        <v>90</v>
      </c>
      <c r="J38" s="4" t="s">
        <v>799</v>
      </c>
      <c r="K38" s="6"/>
      <c r="L38" s="6"/>
      <c r="M38" s="6"/>
      <c r="N38" s="6"/>
      <c r="P38" s="4" t="s">
        <v>799</v>
      </c>
    </row>
    <row r="39" spans="1:16" x14ac:dyDescent="0.25">
      <c r="A39" s="3" t="str">
        <f t="shared" si="0"/>
        <v>BADES31</v>
      </c>
      <c r="B39" s="3" t="s">
        <v>36</v>
      </c>
      <c r="C39" s="3" t="s">
        <v>147</v>
      </c>
      <c r="D39" s="3" t="s">
        <v>103</v>
      </c>
      <c r="E39" s="3" t="s">
        <v>102</v>
      </c>
      <c r="F39" s="3" t="s">
        <v>172</v>
      </c>
      <c r="G39" s="4" t="s">
        <v>126</v>
      </c>
      <c r="H39" s="7">
        <v>1</v>
      </c>
      <c r="I39" s="4" t="s">
        <v>91</v>
      </c>
      <c r="J39" s="4" t="s">
        <v>788</v>
      </c>
      <c r="K39" s="6"/>
      <c r="L39" s="6"/>
      <c r="M39" s="6"/>
      <c r="N39" s="6"/>
      <c r="P39" s="4" t="s">
        <v>788</v>
      </c>
    </row>
    <row r="40" spans="1:16" x14ac:dyDescent="0.25">
      <c r="A40" s="3" t="str">
        <f t="shared" si="0"/>
        <v>BEACO41</v>
      </c>
      <c r="B40" s="3" t="s">
        <v>38</v>
      </c>
      <c r="C40" s="3" t="s">
        <v>147</v>
      </c>
      <c r="D40" s="3" t="s">
        <v>104</v>
      </c>
      <c r="E40" s="3" t="s">
        <v>102</v>
      </c>
      <c r="F40" s="3" t="s">
        <v>172</v>
      </c>
      <c r="G40" s="4" t="s">
        <v>128</v>
      </c>
      <c r="H40" s="7">
        <v>4</v>
      </c>
      <c r="I40" s="4" t="s">
        <v>91</v>
      </c>
      <c r="J40" s="4" t="s">
        <v>788</v>
      </c>
      <c r="K40" s="6"/>
      <c r="L40" s="6"/>
      <c r="M40" s="6"/>
      <c r="N40" s="6"/>
      <c r="P40" s="4" t="s">
        <v>788</v>
      </c>
    </row>
    <row r="41" spans="1:16" x14ac:dyDescent="0.25">
      <c r="A41" s="3" t="str">
        <f t="shared" si="0"/>
        <v>CHTIN51</v>
      </c>
      <c r="B41" s="3" t="s">
        <v>40</v>
      </c>
      <c r="C41" s="3" t="s">
        <v>147</v>
      </c>
      <c r="D41" s="3" t="s">
        <v>105</v>
      </c>
      <c r="E41" s="3" t="s">
        <v>102</v>
      </c>
      <c r="F41" s="3" t="s">
        <v>172</v>
      </c>
      <c r="G41" s="4" t="s">
        <v>133</v>
      </c>
      <c r="H41" s="7">
        <v>2</v>
      </c>
      <c r="I41" s="4" t="s">
        <v>91</v>
      </c>
      <c r="J41" s="4" t="s">
        <v>800</v>
      </c>
      <c r="K41" s="6"/>
      <c r="L41" s="6"/>
      <c r="M41" s="6"/>
      <c r="N41" s="6"/>
      <c r="P41" s="4" t="s">
        <v>800</v>
      </c>
    </row>
    <row r="42" spans="1:16" x14ac:dyDescent="0.25">
      <c r="A42" s="3" t="str">
        <f t="shared" si="0"/>
        <v>CINSO51</v>
      </c>
      <c r="B42" s="3" t="s">
        <v>41</v>
      </c>
      <c r="C42" s="3" t="s">
        <v>147</v>
      </c>
      <c r="D42" s="3" t="s">
        <v>105</v>
      </c>
      <c r="E42" s="3" t="s">
        <v>102</v>
      </c>
      <c r="F42" s="3" t="s">
        <v>172</v>
      </c>
      <c r="G42" s="4" t="s">
        <v>135</v>
      </c>
      <c r="H42" s="7"/>
      <c r="I42" s="4" t="s">
        <v>91</v>
      </c>
      <c r="J42" s="4" t="s">
        <v>798</v>
      </c>
      <c r="K42" s="6"/>
      <c r="L42" s="6"/>
      <c r="M42" s="6"/>
      <c r="N42" s="6"/>
      <c r="P42" s="4" t="s">
        <v>798</v>
      </c>
    </row>
    <row r="43" spans="1:16" x14ac:dyDescent="0.25">
      <c r="A43" s="3" t="str">
        <f t="shared" si="0"/>
        <v>CRLIX71</v>
      </c>
      <c r="B43" s="3" t="s">
        <v>660</v>
      </c>
      <c r="C43" s="3" t="s">
        <v>147</v>
      </c>
      <c r="D43" s="3" t="s">
        <v>105</v>
      </c>
      <c r="E43" s="3" t="s">
        <v>102</v>
      </c>
      <c r="F43" s="3" t="s">
        <v>172</v>
      </c>
      <c r="G43" s="4" t="s">
        <v>144</v>
      </c>
      <c r="H43" s="7"/>
      <c r="I43" s="4" t="s">
        <v>89</v>
      </c>
      <c r="J43" s="4" t="s">
        <v>800</v>
      </c>
      <c r="K43" s="6"/>
      <c r="L43" s="6"/>
      <c r="M43" s="6"/>
      <c r="N43" s="6"/>
      <c r="P43" s="4" t="s">
        <v>800</v>
      </c>
    </row>
    <row r="44" spans="1:16" x14ac:dyDescent="0.25">
      <c r="A44" s="3" t="str">
        <f t="shared" si="0"/>
        <v>DERTO81</v>
      </c>
      <c r="B44" s="3" t="s">
        <v>43</v>
      </c>
      <c r="C44" s="3" t="s">
        <v>147</v>
      </c>
      <c r="D44" s="3" t="s">
        <v>104</v>
      </c>
      <c r="E44" s="3" t="s">
        <v>102</v>
      </c>
      <c r="F44" s="3" t="s">
        <v>172</v>
      </c>
      <c r="G44" s="4" t="s">
        <v>428</v>
      </c>
      <c r="H44" s="7"/>
      <c r="I44" s="4" t="s">
        <v>91</v>
      </c>
      <c r="J44" s="4" t="s">
        <v>788</v>
      </c>
      <c r="K44" s="6"/>
      <c r="L44" s="6"/>
      <c r="M44" s="6"/>
      <c r="N44" s="6"/>
      <c r="P44" s="4" t="s">
        <v>788</v>
      </c>
    </row>
    <row r="45" spans="1:16" x14ac:dyDescent="0.25">
      <c r="A45" s="3" t="str">
        <f t="shared" si="0"/>
        <v>ELSUS91</v>
      </c>
      <c r="B45" s="3" t="s">
        <v>44</v>
      </c>
      <c r="C45" s="3" t="s">
        <v>147</v>
      </c>
      <c r="D45" s="3" t="s">
        <v>150</v>
      </c>
      <c r="E45" s="3" t="s">
        <v>102</v>
      </c>
      <c r="F45" s="3" t="s">
        <v>172</v>
      </c>
      <c r="G45" s="4" t="s">
        <v>434</v>
      </c>
      <c r="H45" s="7"/>
      <c r="I45" s="4" t="s">
        <v>91</v>
      </c>
      <c r="J45" s="4" t="s">
        <v>800</v>
      </c>
      <c r="K45" s="6"/>
      <c r="L45" s="6"/>
      <c r="M45" s="6"/>
      <c r="N45" s="6"/>
      <c r="P45" s="4" t="s">
        <v>800</v>
      </c>
    </row>
    <row r="46" spans="1:16" x14ac:dyDescent="0.25">
      <c r="A46" s="3" t="str">
        <f t="shared" si="0"/>
        <v>ESIER101</v>
      </c>
      <c r="B46" s="3" t="s">
        <v>663</v>
      </c>
      <c r="C46" s="3" t="s">
        <v>147</v>
      </c>
      <c r="D46" s="3" t="s">
        <v>103</v>
      </c>
      <c r="E46" s="3" t="s">
        <v>102</v>
      </c>
      <c r="F46" s="3" t="s">
        <v>172</v>
      </c>
      <c r="G46" s="4" t="s">
        <v>435</v>
      </c>
      <c r="H46" s="7"/>
      <c r="I46" s="4" t="s">
        <v>90</v>
      </c>
      <c r="J46" s="4" t="s">
        <v>802</v>
      </c>
      <c r="K46" s="6"/>
      <c r="L46" s="6"/>
      <c r="M46" s="6"/>
      <c r="N46" s="6"/>
      <c r="P46" s="4" t="s">
        <v>802</v>
      </c>
    </row>
    <row r="47" spans="1:16" x14ac:dyDescent="0.25">
      <c r="A47" s="3" t="str">
        <f t="shared" si="0"/>
        <v>FIDER111</v>
      </c>
      <c r="B47" s="3" t="s">
        <v>45</v>
      </c>
      <c r="C47" s="3" t="s">
        <v>147</v>
      </c>
      <c r="D47" s="3" t="s">
        <v>105</v>
      </c>
      <c r="E47" s="3" t="s">
        <v>102</v>
      </c>
      <c r="F47" s="3" t="s">
        <v>172</v>
      </c>
      <c r="G47" s="4" t="s">
        <v>439</v>
      </c>
      <c r="H47" s="7"/>
      <c r="I47" s="4" t="s">
        <v>89</v>
      </c>
      <c r="J47" s="4" t="s">
        <v>798</v>
      </c>
      <c r="K47" s="6"/>
      <c r="L47" s="6"/>
      <c r="M47" s="6"/>
      <c r="N47" s="6"/>
      <c r="P47" s="4" t="s">
        <v>798</v>
      </c>
    </row>
    <row r="48" spans="1:16" x14ac:dyDescent="0.25">
      <c r="A48" s="3" t="str">
        <f t="shared" si="0"/>
        <v>GARGE121</v>
      </c>
      <c r="B48" s="3" t="s">
        <v>47</v>
      </c>
      <c r="C48" s="3" t="s">
        <v>147</v>
      </c>
      <c r="D48" s="3" t="s">
        <v>105</v>
      </c>
      <c r="E48" s="3" t="s">
        <v>102</v>
      </c>
      <c r="F48" s="3" t="s">
        <v>172</v>
      </c>
      <c r="G48" s="4" t="s">
        <v>444</v>
      </c>
      <c r="H48" s="7"/>
      <c r="I48" s="4" t="s">
        <v>89</v>
      </c>
      <c r="J48" s="4" t="s">
        <v>798</v>
      </c>
      <c r="K48" s="6"/>
      <c r="L48" s="6"/>
      <c r="M48" s="6"/>
      <c r="N48" s="6"/>
      <c r="P48" s="4" t="s">
        <v>798</v>
      </c>
    </row>
    <row r="49" spans="1:16" x14ac:dyDescent="0.25">
      <c r="A49" s="3" t="str">
        <f t="shared" si="0"/>
        <v>GOLIO82</v>
      </c>
      <c r="B49" s="3" t="s">
        <v>49</v>
      </c>
      <c r="C49" s="3" t="s">
        <v>147</v>
      </c>
      <c r="D49" s="3" t="s">
        <v>103</v>
      </c>
      <c r="E49" s="3" t="s">
        <v>102</v>
      </c>
      <c r="F49" s="3" t="s">
        <v>172</v>
      </c>
      <c r="G49" s="4" t="s">
        <v>450</v>
      </c>
      <c r="H49" s="7">
        <v>4</v>
      </c>
      <c r="I49" s="4" t="s">
        <v>89</v>
      </c>
      <c r="J49" s="4" t="s">
        <v>801</v>
      </c>
      <c r="K49" s="6"/>
      <c r="L49" s="6"/>
      <c r="M49" s="6"/>
      <c r="N49" s="6"/>
      <c r="P49" s="4" t="s">
        <v>801</v>
      </c>
    </row>
    <row r="50" spans="1:16" x14ac:dyDescent="0.25">
      <c r="A50" s="3" t="str">
        <f t="shared" si="0"/>
        <v>HEINO113</v>
      </c>
      <c r="B50" s="3" t="s">
        <v>50</v>
      </c>
      <c r="C50" s="3" t="s">
        <v>147</v>
      </c>
      <c r="D50" s="3" t="s">
        <v>103</v>
      </c>
      <c r="E50" s="3" t="s">
        <v>102</v>
      </c>
      <c r="F50" s="3" t="s">
        <v>172</v>
      </c>
      <c r="G50" s="4" t="s">
        <v>460</v>
      </c>
      <c r="H50" s="7"/>
      <c r="I50" s="4" t="s">
        <v>91</v>
      </c>
      <c r="J50" s="4" t="s">
        <v>800</v>
      </c>
      <c r="K50" s="6"/>
      <c r="L50" s="6"/>
      <c r="M50" s="6"/>
      <c r="N50" s="6"/>
      <c r="P50" s="4" t="s">
        <v>800</v>
      </c>
    </row>
    <row r="51" spans="1:16" x14ac:dyDescent="0.25">
      <c r="A51" s="3" t="str">
        <f t="shared" si="0"/>
        <v>HUGER75</v>
      </c>
      <c r="B51" s="3" t="s">
        <v>52</v>
      </c>
      <c r="C51" s="3" t="s">
        <v>147</v>
      </c>
      <c r="D51" s="3" t="s">
        <v>150</v>
      </c>
      <c r="E51" s="3" t="s">
        <v>102</v>
      </c>
      <c r="F51" s="3" t="s">
        <v>172</v>
      </c>
      <c r="G51" s="4" t="s">
        <v>479</v>
      </c>
      <c r="H51" s="7"/>
      <c r="I51" s="4" t="s">
        <v>90</v>
      </c>
      <c r="J51" s="4" t="s">
        <v>788</v>
      </c>
      <c r="K51" s="6"/>
      <c r="L51" s="6"/>
      <c r="M51" s="6"/>
      <c r="N51" s="6"/>
      <c r="P51" s="4" t="s">
        <v>788</v>
      </c>
    </row>
    <row r="52" spans="1:16" x14ac:dyDescent="0.25">
      <c r="A52" s="3" t="str">
        <f t="shared" si="0"/>
        <v>LLGEL47</v>
      </c>
      <c r="B52" s="3" t="s">
        <v>669</v>
      </c>
      <c r="C52" s="3" t="s">
        <v>147</v>
      </c>
      <c r="D52" s="3" t="s">
        <v>103</v>
      </c>
      <c r="E52" s="3" t="s">
        <v>102</v>
      </c>
      <c r="F52" s="3" t="s">
        <v>172</v>
      </c>
      <c r="G52" s="4" t="s">
        <v>506</v>
      </c>
      <c r="H52" s="7">
        <v>4</v>
      </c>
      <c r="I52" s="4" t="s">
        <v>89</v>
      </c>
      <c r="J52" s="4" t="s">
        <v>803</v>
      </c>
      <c r="K52" s="6"/>
      <c r="L52" s="6"/>
      <c r="M52" s="6"/>
      <c r="N52" s="6"/>
      <c r="P52" s="4" t="s">
        <v>803</v>
      </c>
    </row>
    <row r="53" spans="1:16" x14ac:dyDescent="0.25">
      <c r="A53" s="3" t="str">
        <f t="shared" si="0"/>
        <v>MERSI127</v>
      </c>
      <c r="B53" s="3" t="s">
        <v>57</v>
      </c>
      <c r="C53" s="3" t="s">
        <v>147</v>
      </c>
      <c r="D53" s="3" t="s">
        <v>150</v>
      </c>
      <c r="E53" s="3" t="s">
        <v>102</v>
      </c>
      <c r="F53" s="3" t="s">
        <v>172</v>
      </c>
      <c r="G53" s="4" t="s">
        <v>518</v>
      </c>
      <c r="H53" s="7">
        <v>2</v>
      </c>
      <c r="I53" s="4" t="s">
        <v>89</v>
      </c>
      <c r="J53" s="4" t="s">
        <v>798</v>
      </c>
      <c r="K53" s="6"/>
      <c r="L53" s="6"/>
      <c r="M53" s="6"/>
      <c r="N53" s="6"/>
      <c r="P53" s="4" t="s">
        <v>798</v>
      </c>
    </row>
    <row r="54" spans="1:16" x14ac:dyDescent="0.25">
      <c r="A54" s="3" t="str">
        <f t="shared" si="0"/>
        <v>MEURO48</v>
      </c>
      <c r="B54" s="3" t="s">
        <v>670</v>
      </c>
      <c r="C54" s="3" t="s">
        <v>147</v>
      </c>
      <c r="D54" s="3" t="s">
        <v>104</v>
      </c>
      <c r="E54" s="3" t="s">
        <v>102</v>
      </c>
      <c r="F54" s="3" t="s">
        <v>172</v>
      </c>
      <c r="G54" s="4" t="s">
        <v>522</v>
      </c>
      <c r="H54" s="7">
        <v>3</v>
      </c>
      <c r="I54" s="4" t="s">
        <v>89</v>
      </c>
      <c r="J54" s="4" t="s">
        <v>800</v>
      </c>
      <c r="K54" s="6"/>
      <c r="L54" s="6"/>
      <c r="M54" s="6"/>
      <c r="N54" s="6"/>
      <c r="P54" s="4" t="s">
        <v>800</v>
      </c>
    </row>
    <row r="55" spans="1:16" x14ac:dyDescent="0.25">
      <c r="A55" s="3" t="str">
        <f t="shared" si="0"/>
        <v>QUAUL213</v>
      </c>
      <c r="B55" s="3" t="s">
        <v>63</v>
      </c>
      <c r="C55" s="3" t="s">
        <v>147</v>
      </c>
      <c r="D55" s="3" t="s">
        <v>103</v>
      </c>
      <c r="E55" s="3" t="s">
        <v>102</v>
      </c>
      <c r="F55" s="3" t="s">
        <v>172</v>
      </c>
      <c r="G55" s="4" t="s">
        <v>579</v>
      </c>
      <c r="H55" s="7">
        <v>2</v>
      </c>
      <c r="I55" s="4" t="s">
        <v>89</v>
      </c>
      <c r="J55" s="4" t="s">
        <v>790</v>
      </c>
      <c r="K55" s="6"/>
      <c r="L55" s="6"/>
      <c r="M55" s="6"/>
      <c r="N55" s="6"/>
      <c r="P55" s="4" t="s">
        <v>790</v>
      </c>
    </row>
    <row r="56" spans="1:16" x14ac:dyDescent="0.25">
      <c r="A56" s="3" t="str">
        <f t="shared" si="0"/>
        <v>QUAVO513</v>
      </c>
      <c r="B56" s="3" t="s">
        <v>674</v>
      </c>
      <c r="C56" s="3" t="s">
        <v>147</v>
      </c>
      <c r="D56" s="3" t="s">
        <v>105</v>
      </c>
      <c r="E56" s="3" t="s">
        <v>102</v>
      </c>
      <c r="F56" s="3" t="s">
        <v>172</v>
      </c>
      <c r="G56" s="4" t="s">
        <v>585</v>
      </c>
      <c r="H56" s="7"/>
      <c r="I56" s="4" t="s">
        <v>91</v>
      </c>
      <c r="J56" s="4" t="s">
        <v>800</v>
      </c>
      <c r="K56" s="6"/>
      <c r="L56" s="6"/>
      <c r="M56" s="6"/>
      <c r="N56" s="6"/>
      <c r="P56" s="4" t="s">
        <v>800</v>
      </c>
    </row>
    <row r="57" spans="1:16" x14ac:dyDescent="0.25">
      <c r="A57" s="3" t="str">
        <f t="shared" si="0"/>
        <v>RAERT1113</v>
      </c>
      <c r="B57" s="3" t="s">
        <v>675</v>
      </c>
      <c r="C57" s="3" t="s">
        <v>147</v>
      </c>
      <c r="D57" s="3" t="s">
        <v>105</v>
      </c>
      <c r="E57" s="3" t="s">
        <v>102</v>
      </c>
      <c r="F57" s="3" t="s">
        <v>172</v>
      </c>
      <c r="G57" s="4" t="s">
        <v>589</v>
      </c>
      <c r="H57" s="7"/>
      <c r="I57" s="4" t="s">
        <v>89</v>
      </c>
      <c r="J57" s="4" t="s">
        <v>798</v>
      </c>
      <c r="K57" s="6"/>
      <c r="L57" s="6"/>
      <c r="M57" s="6"/>
      <c r="N57" s="6"/>
      <c r="P57" s="4" t="s">
        <v>798</v>
      </c>
    </row>
    <row r="58" spans="1:16" x14ac:dyDescent="0.25">
      <c r="A58" s="3" t="str">
        <f t="shared" si="0"/>
        <v>ROREY515</v>
      </c>
      <c r="B58" s="3" t="s">
        <v>65</v>
      </c>
      <c r="C58" s="3" t="s">
        <v>147</v>
      </c>
      <c r="D58" s="3" t="s">
        <v>105</v>
      </c>
      <c r="E58" s="3" t="s">
        <v>102</v>
      </c>
      <c r="F58" s="3" t="s">
        <v>172</v>
      </c>
      <c r="G58" s="4" t="s">
        <v>616</v>
      </c>
      <c r="H58" s="7">
        <v>3</v>
      </c>
      <c r="I58" s="4" t="s">
        <v>92</v>
      </c>
      <c r="J58" s="4" t="s">
        <v>798</v>
      </c>
      <c r="K58" s="6"/>
      <c r="L58" s="6"/>
      <c r="M58" s="6"/>
      <c r="N58" s="6"/>
      <c r="P58" s="4" t="s">
        <v>798</v>
      </c>
    </row>
    <row r="59" spans="1:16" x14ac:dyDescent="0.25">
      <c r="A59" s="3" t="str">
        <f t="shared" si="0"/>
        <v>RUUIS217</v>
      </c>
      <c r="B59" s="3" t="s">
        <v>67</v>
      </c>
      <c r="C59" s="3" t="s">
        <v>147</v>
      </c>
      <c r="D59" s="3" t="s">
        <v>103</v>
      </c>
      <c r="E59" s="3" t="s">
        <v>102</v>
      </c>
      <c r="F59" s="3" t="s">
        <v>172</v>
      </c>
      <c r="G59" s="4" t="s">
        <v>633</v>
      </c>
      <c r="H59" s="7">
        <v>3</v>
      </c>
      <c r="I59" s="4" t="s">
        <v>91</v>
      </c>
      <c r="J59" s="4" t="s">
        <v>804</v>
      </c>
      <c r="K59" s="6"/>
      <c r="L59" s="6"/>
      <c r="M59" s="6"/>
      <c r="N59" s="6"/>
      <c r="P59" s="4" t="s">
        <v>804</v>
      </c>
    </row>
    <row r="60" spans="1:16" x14ac:dyDescent="0.25">
      <c r="A60" s="3" t="str">
        <f t="shared" si="0"/>
        <v>SAOSE517</v>
      </c>
      <c r="B60" s="3" t="s">
        <v>678</v>
      </c>
      <c r="C60" s="3" t="s">
        <v>147</v>
      </c>
      <c r="D60" s="3" t="s">
        <v>150</v>
      </c>
      <c r="E60" s="3" t="s">
        <v>102</v>
      </c>
      <c r="F60" s="3" t="s">
        <v>172</v>
      </c>
      <c r="G60" s="4" t="s">
        <v>638</v>
      </c>
      <c r="H60" s="7">
        <v>4</v>
      </c>
      <c r="I60" s="4" t="s">
        <v>89</v>
      </c>
      <c r="J60" s="4" t="s">
        <v>800</v>
      </c>
      <c r="K60" s="6"/>
      <c r="L60" s="6"/>
      <c r="M60" s="6"/>
      <c r="N60" s="6"/>
      <c r="P60" s="4" t="s">
        <v>800</v>
      </c>
    </row>
    <row r="61" spans="1:16" x14ac:dyDescent="0.25">
      <c r="A61" s="3" t="str">
        <f t="shared" si="0"/>
        <v>BESUS41</v>
      </c>
      <c r="B61" s="3" t="s">
        <v>182</v>
      </c>
      <c r="C61" s="3" t="s">
        <v>147</v>
      </c>
      <c r="D61" s="3" t="s">
        <v>105</v>
      </c>
      <c r="E61" s="3" t="s">
        <v>99</v>
      </c>
      <c r="F61" s="3" t="s">
        <v>183</v>
      </c>
      <c r="G61" s="4" t="s">
        <v>129</v>
      </c>
      <c r="H61" s="7">
        <v>2</v>
      </c>
      <c r="I61" s="4" t="s">
        <v>89</v>
      </c>
      <c r="J61" s="4" t="s">
        <v>790</v>
      </c>
      <c r="K61" s="6"/>
      <c r="L61" s="6"/>
      <c r="M61" s="6"/>
      <c r="N61" s="6"/>
      <c r="P61" s="4" t="s">
        <v>790</v>
      </c>
    </row>
    <row r="62" spans="1:16" x14ac:dyDescent="0.25">
      <c r="A62" s="3" t="str">
        <f t="shared" si="0"/>
        <v>CONDO61</v>
      </c>
      <c r="B62" s="3" t="s">
        <v>214</v>
      </c>
      <c r="C62" s="3" t="s">
        <v>147</v>
      </c>
      <c r="D62" s="3" t="s">
        <v>105</v>
      </c>
      <c r="E62" s="3" t="s">
        <v>99</v>
      </c>
      <c r="F62" s="3" t="s">
        <v>183</v>
      </c>
      <c r="G62" s="4" t="s">
        <v>139</v>
      </c>
      <c r="H62" s="7">
        <v>1</v>
      </c>
      <c r="I62" s="4" t="s">
        <v>91</v>
      </c>
      <c r="J62" s="4" t="s">
        <v>789</v>
      </c>
      <c r="K62" s="6"/>
      <c r="L62" s="6"/>
      <c r="M62" s="6"/>
      <c r="N62" s="6"/>
      <c r="P62" s="4" t="s">
        <v>789</v>
      </c>
    </row>
    <row r="63" spans="1:16" x14ac:dyDescent="0.25">
      <c r="A63" s="3" t="str">
        <f t="shared" si="0"/>
        <v>CUIAS71</v>
      </c>
      <c r="B63" s="3" t="s">
        <v>222</v>
      </c>
      <c r="C63" s="3" t="s">
        <v>147</v>
      </c>
      <c r="D63" s="3" t="s">
        <v>105</v>
      </c>
      <c r="E63" s="3" t="s">
        <v>99</v>
      </c>
      <c r="F63" s="3" t="s">
        <v>183</v>
      </c>
      <c r="G63" s="4" t="s">
        <v>144</v>
      </c>
      <c r="H63" s="7"/>
      <c r="I63" s="4" t="s">
        <v>92</v>
      </c>
      <c r="J63" s="4" t="s">
        <v>789</v>
      </c>
      <c r="K63" s="6"/>
      <c r="L63" s="6"/>
      <c r="M63" s="6"/>
      <c r="N63" s="6"/>
      <c r="P63" s="4" t="s">
        <v>789</v>
      </c>
    </row>
    <row r="64" spans="1:16" x14ac:dyDescent="0.25">
      <c r="A64" s="3" t="str">
        <f t="shared" si="0"/>
        <v>ESOEL101</v>
      </c>
      <c r="B64" s="3" t="s">
        <v>712</v>
      </c>
      <c r="C64" s="3" t="s">
        <v>147</v>
      </c>
      <c r="D64" s="3" t="s">
        <v>105</v>
      </c>
      <c r="E64" s="3" t="s">
        <v>99</v>
      </c>
      <c r="F64" s="3" t="s">
        <v>183</v>
      </c>
      <c r="G64" s="4" t="s">
        <v>437</v>
      </c>
      <c r="H64" s="7">
        <v>2</v>
      </c>
      <c r="I64" s="4" t="s">
        <v>89</v>
      </c>
      <c r="J64" s="4" t="s">
        <v>791</v>
      </c>
      <c r="K64" s="6"/>
      <c r="L64" s="6"/>
      <c r="M64" s="6"/>
      <c r="N64" s="6"/>
      <c r="P64" s="4" t="s">
        <v>791</v>
      </c>
    </row>
    <row r="65" spans="1:16" x14ac:dyDescent="0.25">
      <c r="A65" s="3" t="str">
        <f t="shared" si="0"/>
        <v>HUGAR35</v>
      </c>
      <c r="B65" s="3" t="s">
        <v>283</v>
      </c>
      <c r="C65" s="3" t="s">
        <v>147</v>
      </c>
      <c r="D65" s="3" t="s">
        <v>103</v>
      </c>
      <c r="E65" s="3" t="s">
        <v>99</v>
      </c>
      <c r="F65" s="3" t="s">
        <v>183</v>
      </c>
      <c r="G65" s="4" t="s">
        <v>475</v>
      </c>
      <c r="H65" s="7">
        <v>1</v>
      </c>
      <c r="I65" s="4" t="s">
        <v>92</v>
      </c>
      <c r="J65" s="4" t="s">
        <v>789</v>
      </c>
      <c r="K65" s="6"/>
      <c r="L65" s="6"/>
      <c r="M65" s="6"/>
      <c r="N65" s="6"/>
      <c r="P65" s="4" t="s">
        <v>789</v>
      </c>
    </row>
    <row r="66" spans="1:16" x14ac:dyDescent="0.25">
      <c r="A66" s="3" t="str">
        <f t="shared" ref="A66:A129" si="1">+CONCATENATE(LEFT(B66,2),RIGHT(B66,3),MONTH(G66),DAY(G66))</f>
        <v>HUILO54</v>
      </c>
      <c r="B66" s="3" t="s">
        <v>276</v>
      </c>
      <c r="C66" s="3" t="s">
        <v>147</v>
      </c>
      <c r="D66" s="3" t="s">
        <v>150</v>
      </c>
      <c r="E66" s="3" t="s">
        <v>99</v>
      </c>
      <c r="F66" s="3" t="s">
        <v>183</v>
      </c>
      <c r="G66" s="4" t="s">
        <v>466</v>
      </c>
      <c r="H66" s="7"/>
      <c r="I66" s="4" t="s">
        <v>89</v>
      </c>
      <c r="J66" s="4" t="s">
        <v>791</v>
      </c>
      <c r="K66" s="6"/>
      <c r="L66" s="6"/>
      <c r="M66" s="6"/>
      <c r="N66" s="6"/>
      <c r="P66" s="4" t="s">
        <v>791</v>
      </c>
    </row>
    <row r="67" spans="1:16" x14ac:dyDescent="0.25">
      <c r="A67" s="3" t="str">
        <f t="shared" si="1"/>
        <v>HUAAC74</v>
      </c>
      <c r="B67" s="3" t="s">
        <v>278</v>
      </c>
      <c r="C67" s="3" t="s">
        <v>147</v>
      </c>
      <c r="D67" s="3" t="s">
        <v>105</v>
      </c>
      <c r="E67" s="3" t="s">
        <v>99</v>
      </c>
      <c r="F67" s="3" t="s">
        <v>183</v>
      </c>
      <c r="G67" s="4" t="s">
        <v>468</v>
      </c>
      <c r="H67" s="7">
        <v>2</v>
      </c>
      <c r="I67" s="4" t="s">
        <v>90</v>
      </c>
      <c r="J67" s="4" t="s">
        <v>792</v>
      </c>
      <c r="K67" s="6"/>
      <c r="L67" s="6"/>
      <c r="M67" s="6"/>
      <c r="N67" s="6"/>
      <c r="P67" s="4" t="s">
        <v>792</v>
      </c>
    </row>
    <row r="68" spans="1:16" x14ac:dyDescent="0.25">
      <c r="A68" s="3" t="str">
        <f t="shared" si="1"/>
        <v>LUIME47</v>
      </c>
      <c r="B68" s="3" t="s">
        <v>736</v>
      </c>
      <c r="C68" s="3" t="s">
        <v>147</v>
      </c>
      <c r="D68" s="3" t="s">
        <v>103</v>
      </c>
      <c r="E68" s="3" t="s">
        <v>99</v>
      </c>
      <c r="F68" s="3" t="s">
        <v>183</v>
      </c>
      <c r="G68" s="4" t="s">
        <v>507</v>
      </c>
      <c r="H68" s="7">
        <v>6</v>
      </c>
      <c r="I68" s="4" t="s">
        <v>91</v>
      </c>
      <c r="J68" s="4" t="s">
        <v>789</v>
      </c>
      <c r="K68" s="6"/>
      <c r="L68" s="6"/>
      <c r="M68" s="6"/>
      <c r="N68" s="6"/>
      <c r="P68" s="4" t="s">
        <v>789</v>
      </c>
    </row>
    <row r="69" spans="1:16" x14ac:dyDescent="0.25">
      <c r="A69" s="3" t="str">
        <f t="shared" si="1"/>
        <v>MAMAN67</v>
      </c>
      <c r="B69" s="3" t="s">
        <v>324</v>
      </c>
      <c r="C69" s="3" t="s">
        <v>147</v>
      </c>
      <c r="D69" s="3" t="s">
        <v>103</v>
      </c>
      <c r="E69" s="3" t="s">
        <v>99</v>
      </c>
      <c r="F69" s="3" t="s">
        <v>183</v>
      </c>
      <c r="G69" s="4" t="s">
        <v>510</v>
      </c>
      <c r="H69" s="7">
        <v>1</v>
      </c>
      <c r="I69" s="4" t="s">
        <v>89</v>
      </c>
      <c r="J69" s="4" t="s">
        <v>789</v>
      </c>
      <c r="K69" s="6"/>
      <c r="L69" s="6"/>
      <c r="M69" s="6"/>
      <c r="N69" s="6"/>
      <c r="P69" s="4" t="s">
        <v>789</v>
      </c>
    </row>
    <row r="70" spans="1:16" x14ac:dyDescent="0.25">
      <c r="A70" s="3" t="str">
        <f t="shared" si="1"/>
        <v>PAVID611</v>
      </c>
      <c r="B70" s="3" t="s">
        <v>358</v>
      </c>
      <c r="C70" s="3" t="s">
        <v>147</v>
      </c>
      <c r="D70" s="3" t="s">
        <v>150</v>
      </c>
      <c r="E70" s="3" t="s">
        <v>99</v>
      </c>
      <c r="F70" s="3" t="s">
        <v>183</v>
      </c>
      <c r="G70" s="4" t="s">
        <v>559</v>
      </c>
      <c r="H70" s="7"/>
      <c r="I70" s="4" t="s">
        <v>89</v>
      </c>
      <c r="J70" s="4" t="s">
        <v>791</v>
      </c>
      <c r="K70" s="6"/>
      <c r="L70" s="6"/>
      <c r="M70" s="6"/>
      <c r="N70" s="6"/>
      <c r="P70" s="4" t="s">
        <v>791</v>
      </c>
    </row>
    <row r="71" spans="1:16" x14ac:dyDescent="0.25">
      <c r="A71" s="3" t="str">
        <f t="shared" si="1"/>
        <v>PEICO811</v>
      </c>
      <c r="B71" s="3" t="s">
        <v>764</v>
      </c>
      <c r="C71" s="3" t="s">
        <v>147</v>
      </c>
      <c r="D71" s="3" t="s">
        <v>103</v>
      </c>
      <c r="E71" s="3" t="s">
        <v>99</v>
      </c>
      <c r="F71" s="3" t="s">
        <v>183</v>
      </c>
      <c r="G71" s="4" t="s">
        <v>564</v>
      </c>
      <c r="H71" s="7">
        <v>4</v>
      </c>
      <c r="I71" s="4" t="s">
        <v>89</v>
      </c>
      <c r="J71" s="4" t="s">
        <v>789</v>
      </c>
      <c r="K71" s="6"/>
      <c r="L71" s="6"/>
      <c r="M71" s="6"/>
      <c r="N71" s="6"/>
      <c r="P71" s="4" t="s">
        <v>789</v>
      </c>
    </row>
    <row r="72" spans="1:16" x14ac:dyDescent="0.25">
      <c r="A72" s="3" t="str">
        <f t="shared" si="1"/>
        <v>RUINO417</v>
      </c>
      <c r="B72" s="3" t="s">
        <v>415</v>
      </c>
      <c r="C72" s="3" t="s">
        <v>147</v>
      </c>
      <c r="D72" s="3" t="s">
        <v>150</v>
      </c>
      <c r="E72" s="3" t="s">
        <v>99</v>
      </c>
      <c r="F72" s="3" t="s">
        <v>183</v>
      </c>
      <c r="G72" s="4" t="s">
        <v>635</v>
      </c>
      <c r="H72" s="7">
        <v>2</v>
      </c>
      <c r="I72" s="4" t="s">
        <v>90</v>
      </c>
      <c r="J72" s="4" t="s">
        <v>791</v>
      </c>
      <c r="K72" s="6"/>
      <c r="L72" s="6"/>
      <c r="M72" s="6"/>
      <c r="N72" s="6"/>
      <c r="P72" s="4" t="s">
        <v>791</v>
      </c>
    </row>
    <row r="73" spans="1:16" x14ac:dyDescent="0.25">
      <c r="A73" s="3" t="str">
        <f t="shared" si="1"/>
        <v>BANNY31</v>
      </c>
      <c r="B73" s="3" t="s">
        <v>175</v>
      </c>
      <c r="C73" s="3" t="s">
        <v>147</v>
      </c>
      <c r="D73" s="3" t="s">
        <v>103</v>
      </c>
      <c r="E73" s="3" t="s">
        <v>99</v>
      </c>
      <c r="F73" s="3" t="s">
        <v>176</v>
      </c>
      <c r="G73" s="4" t="s">
        <v>126</v>
      </c>
      <c r="H73" s="7">
        <v>1</v>
      </c>
      <c r="I73" s="4" t="s">
        <v>90</v>
      </c>
      <c r="J73" s="4" t="s">
        <v>789</v>
      </c>
      <c r="K73" s="6"/>
      <c r="L73" s="6"/>
      <c r="M73" s="6"/>
      <c r="N73" s="6"/>
      <c r="P73" s="4" t="s">
        <v>789</v>
      </c>
    </row>
    <row r="74" spans="1:16" x14ac:dyDescent="0.25">
      <c r="A74" s="3" t="str">
        <f t="shared" si="1"/>
        <v>BUAUL41</v>
      </c>
      <c r="B74" s="3" t="s">
        <v>192</v>
      </c>
      <c r="C74" s="3" t="s">
        <v>147</v>
      </c>
      <c r="D74" s="3" t="s">
        <v>103</v>
      </c>
      <c r="E74" s="3" t="s">
        <v>99</v>
      </c>
      <c r="F74" s="3" t="s">
        <v>176</v>
      </c>
      <c r="G74" s="4" t="s">
        <v>130</v>
      </c>
      <c r="H74" s="7">
        <v>1</v>
      </c>
      <c r="I74" s="4" t="s">
        <v>92</v>
      </c>
      <c r="J74" s="4" t="s">
        <v>789</v>
      </c>
      <c r="K74" s="6"/>
      <c r="L74" s="6"/>
      <c r="M74" s="6"/>
      <c r="N74" s="6"/>
      <c r="P74" s="4" t="s">
        <v>789</v>
      </c>
    </row>
    <row r="75" spans="1:16" x14ac:dyDescent="0.25">
      <c r="A75" s="3" t="str">
        <f t="shared" si="1"/>
        <v>CAVER41</v>
      </c>
      <c r="B75" s="3" t="s">
        <v>200</v>
      </c>
      <c r="C75" s="3" t="s">
        <v>147</v>
      </c>
      <c r="D75" s="3" t="s">
        <v>103</v>
      </c>
      <c r="E75" s="3" t="s">
        <v>99</v>
      </c>
      <c r="F75" s="3" t="s">
        <v>176</v>
      </c>
      <c r="G75" s="4" t="s">
        <v>130</v>
      </c>
      <c r="H75" s="7">
        <v>1</v>
      </c>
      <c r="I75" s="4" t="s">
        <v>92</v>
      </c>
      <c r="J75" s="4" t="s">
        <v>789</v>
      </c>
      <c r="K75" s="6"/>
      <c r="L75" s="6"/>
      <c r="M75" s="6"/>
      <c r="N75" s="6"/>
      <c r="P75" s="4" t="s">
        <v>789</v>
      </c>
    </row>
    <row r="76" spans="1:16" x14ac:dyDescent="0.25">
      <c r="A76" s="3" t="str">
        <f t="shared" si="1"/>
        <v>GORDO22</v>
      </c>
      <c r="B76" s="3" t="s">
        <v>716</v>
      </c>
      <c r="C76" s="3" t="s">
        <v>147</v>
      </c>
      <c r="D76" s="3" t="s">
        <v>103</v>
      </c>
      <c r="E76" s="3" t="s">
        <v>99</v>
      </c>
      <c r="F76" s="3" t="s">
        <v>176</v>
      </c>
      <c r="G76" s="4" t="s">
        <v>445</v>
      </c>
      <c r="H76" s="7">
        <v>1</v>
      </c>
      <c r="I76" s="4" t="s">
        <v>90</v>
      </c>
      <c r="J76" s="4" t="s">
        <v>787</v>
      </c>
      <c r="K76" s="6"/>
      <c r="L76" s="6"/>
      <c r="M76" s="6"/>
      <c r="N76" s="6"/>
      <c r="P76" s="4" t="s">
        <v>787</v>
      </c>
    </row>
    <row r="77" spans="1:16" x14ac:dyDescent="0.25">
      <c r="A77" s="3" t="str">
        <f t="shared" si="1"/>
        <v>HENER113</v>
      </c>
      <c r="B77" s="3" t="s">
        <v>268</v>
      </c>
      <c r="C77" s="3" t="s">
        <v>147</v>
      </c>
      <c r="D77" s="3" t="s">
        <v>103</v>
      </c>
      <c r="E77" s="3" t="s">
        <v>99</v>
      </c>
      <c r="F77" s="3" t="s">
        <v>176</v>
      </c>
      <c r="G77" s="4" t="s">
        <v>460</v>
      </c>
      <c r="H77" s="7">
        <v>5</v>
      </c>
      <c r="I77" s="4" t="s">
        <v>89</v>
      </c>
      <c r="J77" s="4" t="s">
        <v>787</v>
      </c>
      <c r="K77" s="6"/>
      <c r="L77" s="6"/>
      <c r="M77" s="6"/>
      <c r="N77" s="6"/>
      <c r="P77" s="4" t="s">
        <v>787</v>
      </c>
    </row>
    <row r="78" spans="1:16" x14ac:dyDescent="0.25">
      <c r="A78" s="3" t="str">
        <f t="shared" si="1"/>
        <v>HIIME34</v>
      </c>
      <c r="B78" s="3" t="s">
        <v>274</v>
      </c>
      <c r="C78" s="3" t="s">
        <v>147</v>
      </c>
      <c r="D78" s="3" t="s">
        <v>103</v>
      </c>
      <c r="E78" s="3" t="s">
        <v>99</v>
      </c>
      <c r="F78" s="3" t="s">
        <v>176</v>
      </c>
      <c r="G78" s="4" t="s">
        <v>464</v>
      </c>
      <c r="H78" s="7">
        <v>3</v>
      </c>
      <c r="I78" s="4" t="s">
        <v>90</v>
      </c>
      <c r="J78" s="4" t="s">
        <v>787</v>
      </c>
      <c r="K78" s="6"/>
      <c r="L78" s="6"/>
      <c r="M78" s="6"/>
      <c r="N78" s="6"/>
      <c r="P78" s="4" t="s">
        <v>787</v>
      </c>
    </row>
    <row r="79" spans="1:16" x14ac:dyDescent="0.25">
      <c r="A79" s="3" t="str">
        <f t="shared" si="1"/>
        <v>JIELL56</v>
      </c>
      <c r="B79" s="3" t="s">
        <v>303</v>
      </c>
      <c r="C79" s="3" t="s">
        <v>147</v>
      </c>
      <c r="D79" s="3" t="s">
        <v>103</v>
      </c>
      <c r="E79" s="3" t="s">
        <v>99</v>
      </c>
      <c r="F79" s="3" t="s">
        <v>176</v>
      </c>
      <c r="G79" s="4" t="s">
        <v>494</v>
      </c>
      <c r="H79" s="7">
        <v>2</v>
      </c>
      <c r="I79" s="4" t="s">
        <v>91</v>
      </c>
      <c r="J79" s="4" t="s">
        <v>787</v>
      </c>
      <c r="K79" s="6"/>
      <c r="L79" s="6"/>
      <c r="M79" s="6"/>
      <c r="N79" s="6"/>
      <c r="P79" s="4" t="s">
        <v>787</v>
      </c>
    </row>
    <row r="80" spans="1:16" x14ac:dyDescent="0.25">
      <c r="A80" s="3" t="str">
        <f t="shared" si="1"/>
        <v>MELIO38</v>
      </c>
      <c r="B80" s="3" t="s">
        <v>333</v>
      </c>
      <c r="C80" s="3" t="s">
        <v>147</v>
      </c>
      <c r="D80" s="3" t="s">
        <v>103</v>
      </c>
      <c r="E80" s="3" t="s">
        <v>99</v>
      </c>
      <c r="F80" s="3" t="s">
        <v>176</v>
      </c>
      <c r="G80" s="4" t="s">
        <v>520</v>
      </c>
      <c r="H80" s="7">
        <v>2</v>
      </c>
      <c r="I80" s="4" t="s">
        <v>91</v>
      </c>
      <c r="J80" s="4" t="s">
        <v>792</v>
      </c>
      <c r="K80" s="6"/>
      <c r="L80" s="6"/>
      <c r="M80" s="6"/>
      <c r="N80" s="6"/>
      <c r="P80" s="4" t="s">
        <v>792</v>
      </c>
    </row>
    <row r="81" spans="1:16" x14ac:dyDescent="0.25">
      <c r="A81" s="3" t="str">
        <f t="shared" si="1"/>
        <v>PINZO1211</v>
      </c>
      <c r="B81" s="3" t="s">
        <v>364</v>
      </c>
      <c r="C81" s="3" t="s">
        <v>147</v>
      </c>
      <c r="D81" s="3" t="s">
        <v>103</v>
      </c>
      <c r="E81" s="3" t="s">
        <v>99</v>
      </c>
      <c r="F81" s="3" t="s">
        <v>176</v>
      </c>
      <c r="G81" s="4" t="s">
        <v>567</v>
      </c>
      <c r="H81" s="7"/>
      <c r="I81" s="4" t="s">
        <v>90</v>
      </c>
      <c r="J81" s="4" t="s">
        <v>787</v>
      </c>
      <c r="K81" s="6"/>
      <c r="L81" s="6"/>
      <c r="M81" s="6"/>
      <c r="N81" s="6"/>
      <c r="P81" s="4" t="s">
        <v>787</v>
      </c>
    </row>
    <row r="82" spans="1:16" x14ac:dyDescent="0.25">
      <c r="A82" s="3" t="str">
        <f t="shared" si="1"/>
        <v>QUITO912</v>
      </c>
      <c r="B82" s="3" t="s">
        <v>372</v>
      </c>
      <c r="C82" s="3" t="s">
        <v>147</v>
      </c>
      <c r="D82" s="3" t="s">
        <v>103</v>
      </c>
      <c r="E82" s="3" t="s">
        <v>99</v>
      </c>
      <c r="F82" s="3" t="s">
        <v>176</v>
      </c>
      <c r="G82" s="4" t="s">
        <v>576</v>
      </c>
      <c r="H82" s="7">
        <v>3</v>
      </c>
      <c r="I82" s="4" t="s">
        <v>89</v>
      </c>
      <c r="J82" s="4" t="s">
        <v>787</v>
      </c>
      <c r="K82" s="6"/>
      <c r="L82" s="6"/>
      <c r="M82" s="6"/>
      <c r="N82" s="6"/>
      <c r="P82" s="4" t="s">
        <v>787</v>
      </c>
    </row>
    <row r="83" spans="1:16" x14ac:dyDescent="0.25">
      <c r="A83" s="3" t="str">
        <f t="shared" si="1"/>
        <v>ESRTO91</v>
      </c>
      <c r="B83" s="3" t="s">
        <v>233</v>
      </c>
      <c r="C83" s="3" t="s">
        <v>147</v>
      </c>
      <c r="D83" s="3" t="s">
        <v>105</v>
      </c>
      <c r="E83" s="3" t="s">
        <v>99</v>
      </c>
      <c r="F83" s="3" t="s">
        <v>234</v>
      </c>
      <c r="G83" s="4" t="s">
        <v>434</v>
      </c>
      <c r="H83" s="7"/>
      <c r="I83" s="4" t="s">
        <v>90</v>
      </c>
      <c r="J83" s="4" t="s">
        <v>805</v>
      </c>
      <c r="K83" s="6"/>
      <c r="L83" s="6"/>
      <c r="M83" s="6"/>
      <c r="N83" s="6"/>
      <c r="P83" s="4" t="s">
        <v>805</v>
      </c>
    </row>
    <row r="84" spans="1:16" x14ac:dyDescent="0.25">
      <c r="A84" s="3" t="str">
        <f t="shared" si="1"/>
        <v>JATER36</v>
      </c>
      <c r="B84" s="3" t="s">
        <v>299</v>
      </c>
      <c r="C84" s="3" t="s">
        <v>147</v>
      </c>
      <c r="D84" s="3" t="s">
        <v>105</v>
      </c>
      <c r="E84" s="3" t="s">
        <v>99</v>
      </c>
      <c r="F84" s="3" t="s">
        <v>234</v>
      </c>
      <c r="G84" s="4" t="s">
        <v>489</v>
      </c>
      <c r="H84" s="7">
        <v>1</v>
      </c>
      <c r="I84" s="4" t="s">
        <v>89</v>
      </c>
      <c r="J84" s="4" t="s">
        <v>805</v>
      </c>
      <c r="K84" s="6"/>
      <c r="L84" s="6"/>
      <c r="M84" s="6"/>
      <c r="N84" s="6"/>
      <c r="P84" s="4" t="s">
        <v>805</v>
      </c>
    </row>
    <row r="85" spans="1:16" x14ac:dyDescent="0.25">
      <c r="A85" s="3" t="str">
        <f t="shared" si="1"/>
        <v>BEAUL31</v>
      </c>
      <c r="B85" s="3" t="s">
        <v>684</v>
      </c>
      <c r="C85" s="3" t="s">
        <v>147</v>
      </c>
      <c r="D85" s="3" t="s">
        <v>105</v>
      </c>
      <c r="E85" s="3" t="s">
        <v>99</v>
      </c>
      <c r="F85" s="3" t="s">
        <v>180</v>
      </c>
      <c r="G85" s="4" t="s">
        <v>126</v>
      </c>
      <c r="H85" s="7"/>
      <c r="I85" s="4" t="s">
        <v>91</v>
      </c>
      <c r="J85" s="4" t="s">
        <v>806</v>
      </c>
      <c r="K85" s="6"/>
      <c r="L85" s="6"/>
      <c r="M85" s="6"/>
      <c r="N85" s="6"/>
      <c r="P85" s="4" t="s">
        <v>806</v>
      </c>
    </row>
    <row r="86" spans="1:16" x14ac:dyDescent="0.25">
      <c r="A86" s="3" t="str">
        <f t="shared" si="1"/>
        <v>BEVID41</v>
      </c>
      <c r="B86" s="3" t="s">
        <v>181</v>
      </c>
      <c r="C86" s="3" t="s">
        <v>147</v>
      </c>
      <c r="D86" s="3" t="s">
        <v>105</v>
      </c>
      <c r="E86" s="3" t="s">
        <v>99</v>
      </c>
      <c r="F86" s="3" t="s">
        <v>180</v>
      </c>
      <c r="G86" s="4" t="s">
        <v>128</v>
      </c>
      <c r="H86" s="7"/>
      <c r="I86" s="4" t="s">
        <v>90</v>
      </c>
      <c r="J86" s="4" t="s">
        <v>806</v>
      </c>
      <c r="K86" s="6"/>
      <c r="L86" s="6"/>
      <c r="M86" s="6"/>
      <c r="N86" s="6"/>
      <c r="P86" s="4" t="s">
        <v>806</v>
      </c>
    </row>
    <row r="87" spans="1:16" x14ac:dyDescent="0.25">
      <c r="A87" s="3" t="str">
        <f t="shared" si="1"/>
        <v>BOICK41</v>
      </c>
      <c r="B87" s="3" t="s">
        <v>687</v>
      </c>
      <c r="C87" s="3" t="s">
        <v>147</v>
      </c>
      <c r="D87" s="3" t="s">
        <v>103</v>
      </c>
      <c r="E87" s="3" t="s">
        <v>99</v>
      </c>
      <c r="F87" s="3" t="s">
        <v>180</v>
      </c>
      <c r="G87" s="4" t="s">
        <v>130</v>
      </c>
      <c r="H87" s="7">
        <v>1</v>
      </c>
      <c r="I87" s="4" t="s">
        <v>89</v>
      </c>
      <c r="J87" s="4" t="s">
        <v>787</v>
      </c>
      <c r="K87" s="6"/>
      <c r="L87" s="6"/>
      <c r="M87" s="6"/>
      <c r="N87" s="6"/>
      <c r="P87" s="4" t="s">
        <v>787</v>
      </c>
    </row>
    <row r="88" spans="1:16" x14ac:dyDescent="0.25">
      <c r="A88" s="3" t="str">
        <f t="shared" si="1"/>
        <v>CHARO51</v>
      </c>
      <c r="B88" s="3" t="s">
        <v>700</v>
      </c>
      <c r="C88" s="3" t="s">
        <v>147</v>
      </c>
      <c r="D88" s="3" t="s">
        <v>103</v>
      </c>
      <c r="E88" s="3" t="s">
        <v>99</v>
      </c>
      <c r="F88" s="3" t="s">
        <v>180</v>
      </c>
      <c r="G88" s="4" t="s">
        <v>135</v>
      </c>
      <c r="H88" s="7">
        <v>3</v>
      </c>
      <c r="I88" s="4" t="s">
        <v>90</v>
      </c>
      <c r="J88" s="4" t="s">
        <v>787</v>
      </c>
      <c r="K88" s="6"/>
      <c r="L88" s="6"/>
      <c r="M88" s="6"/>
      <c r="N88" s="6"/>
      <c r="P88" s="4" t="s">
        <v>787</v>
      </c>
    </row>
    <row r="89" spans="1:16" x14ac:dyDescent="0.25">
      <c r="A89" s="3" t="str">
        <f t="shared" si="1"/>
        <v>COSTO71</v>
      </c>
      <c r="B89" s="3" t="s">
        <v>219</v>
      </c>
      <c r="C89" s="3" t="s">
        <v>147</v>
      </c>
      <c r="D89" s="3" t="s">
        <v>103</v>
      </c>
      <c r="E89" s="3" t="s">
        <v>99</v>
      </c>
      <c r="F89" s="3" t="s">
        <v>180</v>
      </c>
      <c r="G89" s="4" t="s">
        <v>144</v>
      </c>
      <c r="H89" s="7"/>
      <c r="I89" s="4" t="s">
        <v>89</v>
      </c>
      <c r="J89" s="4" t="s">
        <v>787</v>
      </c>
      <c r="K89" s="6"/>
      <c r="L89" s="6"/>
      <c r="M89" s="6"/>
      <c r="N89" s="6"/>
      <c r="P89" s="4" t="s">
        <v>787</v>
      </c>
    </row>
    <row r="90" spans="1:16" x14ac:dyDescent="0.25">
      <c r="A90" s="3" t="str">
        <f t="shared" si="1"/>
        <v>ESIOS101</v>
      </c>
      <c r="B90" s="3" t="s">
        <v>238</v>
      </c>
      <c r="C90" s="3" t="s">
        <v>147</v>
      </c>
      <c r="D90" s="3" t="s">
        <v>105</v>
      </c>
      <c r="E90" s="3" t="s">
        <v>99</v>
      </c>
      <c r="F90" s="3" t="s">
        <v>180</v>
      </c>
      <c r="G90" s="4" t="s">
        <v>436</v>
      </c>
      <c r="H90" s="7">
        <v>1</v>
      </c>
      <c r="I90" s="4" t="s">
        <v>91</v>
      </c>
      <c r="J90" s="4" t="s">
        <v>787</v>
      </c>
      <c r="K90" s="6"/>
      <c r="L90" s="6"/>
      <c r="M90" s="6"/>
      <c r="N90" s="6"/>
      <c r="P90" s="4" t="s">
        <v>787</v>
      </c>
    </row>
    <row r="91" spans="1:16" x14ac:dyDescent="0.25">
      <c r="A91" s="3" t="str">
        <f t="shared" si="1"/>
        <v>ESUAN101</v>
      </c>
      <c r="B91" s="3" t="s">
        <v>240</v>
      </c>
      <c r="C91" s="3" t="s">
        <v>147</v>
      </c>
      <c r="D91" s="3" t="s">
        <v>103</v>
      </c>
      <c r="E91" s="3" t="s">
        <v>99</v>
      </c>
      <c r="F91" s="3" t="s">
        <v>180</v>
      </c>
      <c r="G91" s="4" t="s">
        <v>437</v>
      </c>
      <c r="H91" s="7">
        <v>1</v>
      </c>
      <c r="I91" s="4" t="s">
        <v>91</v>
      </c>
      <c r="J91" s="4" t="s">
        <v>787</v>
      </c>
      <c r="K91" s="6"/>
      <c r="L91" s="6"/>
      <c r="M91" s="6"/>
      <c r="N91" s="6"/>
      <c r="P91" s="4" t="s">
        <v>787</v>
      </c>
    </row>
    <row r="92" spans="1:16" x14ac:dyDescent="0.25">
      <c r="A92" s="3" t="str">
        <f t="shared" si="1"/>
        <v>FRTER121</v>
      </c>
      <c r="B92" s="3" t="s">
        <v>713</v>
      </c>
      <c r="C92" s="3" t="s">
        <v>147</v>
      </c>
      <c r="D92" s="3" t="s">
        <v>105</v>
      </c>
      <c r="E92" s="3" t="s">
        <v>99</v>
      </c>
      <c r="F92" s="3" t="s">
        <v>180</v>
      </c>
      <c r="G92" s="4" t="s">
        <v>442</v>
      </c>
      <c r="H92" s="7">
        <v>1</v>
      </c>
      <c r="I92" s="4" t="s">
        <v>89</v>
      </c>
      <c r="J92" s="4" t="s">
        <v>805</v>
      </c>
      <c r="K92" s="6"/>
      <c r="L92" s="6"/>
      <c r="M92" s="6"/>
      <c r="N92" s="6"/>
      <c r="P92" s="4" t="s">
        <v>805</v>
      </c>
    </row>
    <row r="93" spans="1:16" x14ac:dyDescent="0.25">
      <c r="A93" s="3" t="str">
        <f t="shared" si="1"/>
        <v>GAJEL121</v>
      </c>
      <c r="B93" s="3" t="s">
        <v>251</v>
      </c>
      <c r="C93" s="3" t="s">
        <v>147</v>
      </c>
      <c r="D93" s="3" t="s">
        <v>103</v>
      </c>
      <c r="E93" s="3" t="s">
        <v>99</v>
      </c>
      <c r="F93" s="3" t="s">
        <v>180</v>
      </c>
      <c r="G93" s="4" t="s">
        <v>443</v>
      </c>
      <c r="H93" s="7">
        <v>2</v>
      </c>
      <c r="I93" s="4" t="s">
        <v>92</v>
      </c>
      <c r="J93" s="4" t="s">
        <v>807</v>
      </c>
      <c r="K93" s="6"/>
      <c r="L93" s="6"/>
      <c r="M93" s="6"/>
      <c r="N93" s="6"/>
      <c r="P93" s="4" t="s">
        <v>807</v>
      </c>
    </row>
    <row r="94" spans="1:16" x14ac:dyDescent="0.25">
      <c r="A94" s="3" t="str">
        <f t="shared" si="1"/>
        <v>GOAUL22</v>
      </c>
      <c r="B94" s="3" t="s">
        <v>256</v>
      </c>
      <c r="C94" s="3" t="s">
        <v>147</v>
      </c>
      <c r="D94" s="3" t="s">
        <v>103</v>
      </c>
      <c r="E94" s="3" t="s">
        <v>99</v>
      </c>
      <c r="F94" s="3" t="s">
        <v>180</v>
      </c>
      <c r="G94" s="4" t="s">
        <v>445</v>
      </c>
      <c r="H94" s="7">
        <v>1</v>
      </c>
      <c r="I94" s="4" t="s">
        <v>89</v>
      </c>
      <c r="J94" s="4" t="s">
        <v>805</v>
      </c>
      <c r="K94" s="6"/>
      <c r="L94" s="6"/>
      <c r="M94" s="6"/>
      <c r="N94" s="6"/>
      <c r="P94" s="4" t="s">
        <v>805</v>
      </c>
    </row>
    <row r="95" spans="1:16" x14ac:dyDescent="0.25">
      <c r="A95" s="3" t="str">
        <f t="shared" si="1"/>
        <v>GODER32</v>
      </c>
      <c r="B95" s="3" t="s">
        <v>258</v>
      </c>
      <c r="C95" s="3" t="s">
        <v>147</v>
      </c>
      <c r="D95" s="3" t="s">
        <v>105</v>
      </c>
      <c r="E95" s="3" t="s">
        <v>99</v>
      </c>
      <c r="F95" s="3" t="s">
        <v>180</v>
      </c>
      <c r="G95" s="4" t="s">
        <v>446</v>
      </c>
      <c r="H95" s="7">
        <v>1</v>
      </c>
      <c r="I95" s="4" t="s">
        <v>89</v>
      </c>
      <c r="J95" s="4" t="s">
        <v>805</v>
      </c>
      <c r="K95" s="6"/>
      <c r="L95" s="6"/>
      <c r="M95" s="6"/>
      <c r="N95" s="6"/>
      <c r="P95" s="4" t="s">
        <v>805</v>
      </c>
    </row>
    <row r="96" spans="1:16" x14ac:dyDescent="0.25">
      <c r="A96" s="3" t="str">
        <f t="shared" si="1"/>
        <v>GUURO33</v>
      </c>
      <c r="B96" s="3" t="s">
        <v>261</v>
      </c>
      <c r="C96" s="3" t="s">
        <v>147</v>
      </c>
      <c r="D96" s="3" t="s">
        <v>150</v>
      </c>
      <c r="E96" s="3" t="s">
        <v>99</v>
      </c>
      <c r="F96" s="3" t="s">
        <v>180</v>
      </c>
      <c r="G96" s="4" t="s">
        <v>453</v>
      </c>
      <c r="H96" s="7">
        <v>2</v>
      </c>
      <c r="I96" s="4" t="s">
        <v>91</v>
      </c>
      <c r="J96" s="4" t="s">
        <v>787</v>
      </c>
      <c r="K96" s="6"/>
      <c r="L96" s="6"/>
      <c r="M96" s="6"/>
      <c r="N96" s="6"/>
      <c r="P96" s="4" t="s">
        <v>787</v>
      </c>
    </row>
    <row r="97" spans="1:16" x14ac:dyDescent="0.25">
      <c r="A97" s="3" t="str">
        <f t="shared" si="1"/>
        <v>HEINO93</v>
      </c>
      <c r="B97" s="3" t="s">
        <v>267</v>
      </c>
      <c r="C97" s="3" t="s">
        <v>147</v>
      </c>
      <c r="D97" s="3" t="s">
        <v>104</v>
      </c>
      <c r="E97" s="3" t="s">
        <v>99</v>
      </c>
      <c r="F97" s="3" t="s">
        <v>180</v>
      </c>
      <c r="G97" s="4" t="s">
        <v>459</v>
      </c>
      <c r="H97" s="7">
        <v>2</v>
      </c>
      <c r="I97" s="4" t="s">
        <v>90</v>
      </c>
      <c r="J97" s="4" t="s">
        <v>805</v>
      </c>
      <c r="K97" s="6"/>
      <c r="L97" s="6"/>
      <c r="M97" s="6"/>
      <c r="N97" s="6"/>
      <c r="P97" s="4" t="s">
        <v>805</v>
      </c>
    </row>
    <row r="98" spans="1:16" x14ac:dyDescent="0.25">
      <c r="A98" s="3" t="str">
        <f t="shared" si="1"/>
        <v>HUUGO94</v>
      </c>
      <c r="B98" s="3" t="s">
        <v>723</v>
      </c>
      <c r="C98" s="3" t="s">
        <v>147</v>
      </c>
      <c r="D98" s="3" t="s">
        <v>105</v>
      </c>
      <c r="E98" s="3" t="s">
        <v>99</v>
      </c>
      <c r="F98" s="3" t="s">
        <v>180</v>
      </c>
      <c r="G98" s="4" t="s">
        <v>470</v>
      </c>
      <c r="H98" s="7">
        <v>2</v>
      </c>
      <c r="I98" s="4" t="s">
        <v>91</v>
      </c>
      <c r="J98" s="4" t="s">
        <v>805</v>
      </c>
      <c r="K98" s="6"/>
      <c r="L98" s="6"/>
      <c r="M98" s="6"/>
      <c r="N98" s="6"/>
      <c r="P98" s="4" t="s">
        <v>805</v>
      </c>
    </row>
    <row r="99" spans="1:16" x14ac:dyDescent="0.25">
      <c r="A99" s="3" t="str">
        <f t="shared" si="1"/>
        <v>INNAL125</v>
      </c>
      <c r="B99" s="3" t="s">
        <v>296</v>
      </c>
      <c r="C99" s="3" t="s">
        <v>147</v>
      </c>
      <c r="D99" s="3" t="s">
        <v>103</v>
      </c>
      <c r="E99" s="3" t="s">
        <v>99</v>
      </c>
      <c r="F99" s="3" t="s">
        <v>180</v>
      </c>
      <c r="G99" s="4" t="s">
        <v>487</v>
      </c>
      <c r="H99" s="7"/>
      <c r="I99" s="4" t="s">
        <v>90</v>
      </c>
      <c r="J99" s="4" t="s">
        <v>805</v>
      </c>
      <c r="K99" s="6"/>
      <c r="L99" s="6"/>
      <c r="M99" s="6"/>
      <c r="N99" s="6"/>
      <c r="P99" s="4" t="s">
        <v>805</v>
      </c>
    </row>
    <row r="100" spans="1:16" x14ac:dyDescent="0.25">
      <c r="A100" s="3" t="str">
        <f t="shared" si="1"/>
        <v>INSPO125</v>
      </c>
      <c r="B100" s="3" t="s">
        <v>297</v>
      </c>
      <c r="C100" s="3" t="s">
        <v>147</v>
      </c>
      <c r="D100" s="3" t="s">
        <v>103</v>
      </c>
      <c r="E100" s="3" t="s">
        <v>99</v>
      </c>
      <c r="F100" s="3" t="s">
        <v>180</v>
      </c>
      <c r="G100" s="4" t="s">
        <v>487</v>
      </c>
      <c r="H100" s="7">
        <v>3</v>
      </c>
      <c r="I100" s="4" t="s">
        <v>89</v>
      </c>
      <c r="J100" s="4" t="s">
        <v>805</v>
      </c>
      <c r="K100" s="6"/>
      <c r="L100" s="6"/>
      <c r="M100" s="6"/>
      <c r="N100" s="6"/>
      <c r="P100" s="4" t="s">
        <v>805</v>
      </c>
    </row>
    <row r="101" spans="1:16" x14ac:dyDescent="0.25">
      <c r="A101" s="3" t="str">
        <f t="shared" si="1"/>
        <v>LAORO106</v>
      </c>
      <c r="B101" s="3" t="s">
        <v>309</v>
      </c>
      <c r="C101" s="3" t="s">
        <v>147</v>
      </c>
      <c r="D101" s="3" t="s">
        <v>105</v>
      </c>
      <c r="E101" s="3" t="s">
        <v>99</v>
      </c>
      <c r="F101" s="3" t="s">
        <v>180</v>
      </c>
      <c r="G101" s="4" t="s">
        <v>498</v>
      </c>
      <c r="H101" s="7">
        <v>1</v>
      </c>
      <c r="I101" s="4" t="s">
        <v>89</v>
      </c>
      <c r="J101" s="4" t="s">
        <v>805</v>
      </c>
      <c r="K101" s="6"/>
      <c r="L101" s="6"/>
      <c r="M101" s="6"/>
      <c r="N101" s="6"/>
      <c r="P101" s="4" t="s">
        <v>805</v>
      </c>
    </row>
    <row r="102" spans="1:16" x14ac:dyDescent="0.25">
      <c r="A102" s="3" t="str">
        <f t="shared" si="1"/>
        <v>LEMON17</v>
      </c>
      <c r="B102" s="3" t="s">
        <v>313</v>
      </c>
      <c r="C102" s="3" t="s">
        <v>147</v>
      </c>
      <c r="D102" s="3" t="s">
        <v>103</v>
      </c>
      <c r="E102" s="3" t="s">
        <v>99</v>
      </c>
      <c r="F102" s="3" t="s">
        <v>180</v>
      </c>
      <c r="G102" s="4" t="s">
        <v>503</v>
      </c>
      <c r="H102" s="7">
        <v>1</v>
      </c>
      <c r="I102" s="4" t="s">
        <v>92</v>
      </c>
      <c r="J102" s="4" t="s">
        <v>787</v>
      </c>
      <c r="K102" s="6"/>
      <c r="L102" s="6"/>
      <c r="M102" s="6"/>
      <c r="N102" s="6"/>
      <c r="P102" s="4" t="s">
        <v>787</v>
      </c>
    </row>
    <row r="103" spans="1:16" x14ac:dyDescent="0.25">
      <c r="A103" s="3" t="str">
        <f t="shared" si="1"/>
        <v>LELEX17</v>
      </c>
      <c r="B103" s="3" t="s">
        <v>732</v>
      </c>
      <c r="C103" s="3" t="s">
        <v>147</v>
      </c>
      <c r="D103" s="3" t="s">
        <v>150</v>
      </c>
      <c r="E103" s="3" t="s">
        <v>99</v>
      </c>
      <c r="F103" s="3" t="s">
        <v>180</v>
      </c>
      <c r="G103" s="4" t="s">
        <v>503</v>
      </c>
      <c r="H103" s="7">
        <v>1</v>
      </c>
      <c r="I103" s="4" t="s">
        <v>91</v>
      </c>
      <c r="J103" s="4" t="s">
        <v>805</v>
      </c>
      <c r="K103" s="6"/>
      <c r="L103" s="6"/>
      <c r="M103" s="6"/>
      <c r="N103" s="6"/>
      <c r="P103" s="4" t="s">
        <v>805</v>
      </c>
    </row>
    <row r="104" spans="1:16" x14ac:dyDescent="0.25">
      <c r="A104" s="3" t="str">
        <f t="shared" si="1"/>
        <v>MACIO77</v>
      </c>
      <c r="B104" s="3" t="s">
        <v>327</v>
      </c>
      <c r="C104" s="3" t="s">
        <v>147</v>
      </c>
      <c r="D104" s="3" t="s">
        <v>105</v>
      </c>
      <c r="E104" s="3" t="s">
        <v>99</v>
      </c>
      <c r="F104" s="3" t="s">
        <v>180</v>
      </c>
      <c r="G104" s="4" t="s">
        <v>512</v>
      </c>
      <c r="H104" s="7"/>
      <c r="I104" s="4" t="s">
        <v>89</v>
      </c>
      <c r="J104" s="4" t="s">
        <v>787</v>
      </c>
      <c r="K104" s="6"/>
      <c r="L104" s="6"/>
      <c r="M104" s="6"/>
      <c r="N104" s="6"/>
      <c r="P104" s="4" t="s">
        <v>787</v>
      </c>
    </row>
    <row r="105" spans="1:16" x14ac:dyDescent="0.25">
      <c r="A105" s="3" t="str">
        <f t="shared" si="1"/>
        <v>MALIO77</v>
      </c>
      <c r="B105" s="3" t="s">
        <v>328</v>
      </c>
      <c r="C105" s="3" t="s">
        <v>147</v>
      </c>
      <c r="D105" s="3" t="s">
        <v>105</v>
      </c>
      <c r="E105" s="3" t="s">
        <v>99</v>
      </c>
      <c r="F105" s="3" t="s">
        <v>180</v>
      </c>
      <c r="G105" s="4" t="s">
        <v>512</v>
      </c>
      <c r="H105" s="7"/>
      <c r="I105" s="4" t="s">
        <v>90</v>
      </c>
      <c r="J105" s="4" t="s">
        <v>787</v>
      </c>
      <c r="K105" s="6"/>
      <c r="L105" s="6"/>
      <c r="M105" s="6"/>
      <c r="N105" s="6"/>
      <c r="P105" s="4" t="s">
        <v>787</v>
      </c>
    </row>
    <row r="106" spans="1:16" x14ac:dyDescent="0.25">
      <c r="A106" s="3" t="str">
        <f t="shared" si="1"/>
        <v>MERES77</v>
      </c>
      <c r="B106" s="3" t="s">
        <v>329</v>
      </c>
      <c r="C106" s="3" t="s">
        <v>147</v>
      </c>
      <c r="D106" s="3" t="s">
        <v>105</v>
      </c>
      <c r="E106" s="3" t="s">
        <v>99</v>
      </c>
      <c r="F106" s="3" t="s">
        <v>180</v>
      </c>
      <c r="G106" s="4" t="s">
        <v>512</v>
      </c>
      <c r="H106" s="7"/>
      <c r="I106" s="4" t="s">
        <v>89</v>
      </c>
      <c r="J106" s="4" t="s">
        <v>787</v>
      </c>
      <c r="K106" s="6"/>
      <c r="L106" s="6"/>
      <c r="M106" s="6"/>
      <c r="N106" s="6"/>
      <c r="P106" s="4" t="s">
        <v>787</v>
      </c>
    </row>
    <row r="107" spans="1:16" x14ac:dyDescent="0.25">
      <c r="A107" s="3" t="str">
        <f t="shared" si="1"/>
        <v>MOGAR88</v>
      </c>
      <c r="B107" s="3" t="s">
        <v>339</v>
      </c>
      <c r="C107" s="3" t="s">
        <v>147</v>
      </c>
      <c r="D107" s="3" t="s">
        <v>103</v>
      </c>
      <c r="E107" s="3" t="s">
        <v>99</v>
      </c>
      <c r="F107" s="3" t="s">
        <v>180</v>
      </c>
      <c r="G107" s="4" t="s">
        <v>527</v>
      </c>
      <c r="H107" s="7">
        <v>1</v>
      </c>
      <c r="I107" s="4" t="s">
        <v>89</v>
      </c>
      <c r="J107" s="4" t="s">
        <v>805</v>
      </c>
      <c r="K107" s="6"/>
      <c r="L107" s="6"/>
      <c r="M107" s="6"/>
      <c r="N107" s="6"/>
      <c r="P107" s="4" t="s">
        <v>805</v>
      </c>
    </row>
    <row r="108" spans="1:16" x14ac:dyDescent="0.25">
      <c r="A108" s="3" t="str">
        <f t="shared" si="1"/>
        <v>OSGNO610</v>
      </c>
      <c r="B108" s="3" t="s">
        <v>352</v>
      </c>
      <c r="C108" s="3" t="s">
        <v>147</v>
      </c>
      <c r="D108" s="3" t="s">
        <v>103</v>
      </c>
      <c r="E108" s="3" t="s">
        <v>99</v>
      </c>
      <c r="F108" s="3" t="s">
        <v>180</v>
      </c>
      <c r="G108" s="4" t="s">
        <v>546</v>
      </c>
      <c r="H108" s="7">
        <v>2</v>
      </c>
      <c r="I108" s="4" t="s">
        <v>89</v>
      </c>
      <c r="J108" s="4" t="s">
        <v>805</v>
      </c>
      <c r="K108" s="6"/>
      <c r="L108" s="6"/>
      <c r="M108" s="6"/>
      <c r="N108" s="6"/>
      <c r="P108" s="4" t="s">
        <v>805</v>
      </c>
    </row>
    <row r="109" spans="1:16" x14ac:dyDescent="0.25">
      <c r="A109" s="3" t="str">
        <f t="shared" si="1"/>
        <v>POLIO312</v>
      </c>
      <c r="B109" s="3" t="s">
        <v>766</v>
      </c>
      <c r="C109" s="3" t="s">
        <v>147</v>
      </c>
      <c r="D109" s="3" t="s">
        <v>105</v>
      </c>
      <c r="E109" s="3" t="s">
        <v>99</v>
      </c>
      <c r="F109" s="3" t="s">
        <v>180</v>
      </c>
      <c r="G109" s="4" t="s">
        <v>569</v>
      </c>
      <c r="H109" s="7">
        <v>3</v>
      </c>
      <c r="I109" s="4" t="s">
        <v>90</v>
      </c>
      <c r="J109" s="4" t="s">
        <v>805</v>
      </c>
      <c r="K109" s="6"/>
      <c r="L109" s="6"/>
      <c r="M109" s="6"/>
      <c r="N109" s="6"/>
      <c r="P109" s="4" t="s">
        <v>805</v>
      </c>
    </row>
    <row r="110" spans="1:16" x14ac:dyDescent="0.25">
      <c r="A110" s="3" t="str">
        <f t="shared" si="1"/>
        <v>ROQUE315</v>
      </c>
      <c r="B110" s="3" t="s">
        <v>393</v>
      </c>
      <c r="C110" s="3" t="s">
        <v>147</v>
      </c>
      <c r="D110" s="3" t="s">
        <v>104</v>
      </c>
      <c r="E110" s="3" t="s">
        <v>99</v>
      </c>
      <c r="F110" s="3" t="s">
        <v>180</v>
      </c>
      <c r="G110" s="4" t="s">
        <v>610</v>
      </c>
      <c r="H110" s="7">
        <v>2</v>
      </c>
      <c r="I110" s="4" t="s">
        <v>90</v>
      </c>
      <c r="J110" s="4" t="s">
        <v>787</v>
      </c>
      <c r="K110" s="6"/>
      <c r="L110" s="6"/>
      <c r="M110" s="6"/>
      <c r="N110" s="6"/>
      <c r="P110" s="4" t="s">
        <v>787</v>
      </c>
    </row>
    <row r="111" spans="1:16" x14ac:dyDescent="0.25">
      <c r="A111" s="3" t="str">
        <f t="shared" si="1"/>
        <v>ATTOR31</v>
      </c>
      <c r="B111" s="3" t="s">
        <v>681</v>
      </c>
      <c r="C111" s="3" t="s">
        <v>147</v>
      </c>
      <c r="D111" s="3" t="s">
        <v>103</v>
      </c>
      <c r="E111" s="3" t="s">
        <v>99</v>
      </c>
      <c r="F111" s="3" t="s">
        <v>168</v>
      </c>
      <c r="G111" s="4" t="s">
        <v>125</v>
      </c>
      <c r="H111" s="7">
        <v>2</v>
      </c>
      <c r="I111" s="4" t="s">
        <v>90</v>
      </c>
      <c r="J111" s="4" t="s">
        <v>792</v>
      </c>
      <c r="K111" s="6"/>
      <c r="L111" s="6"/>
      <c r="M111" s="6"/>
      <c r="N111" s="6"/>
      <c r="P111" s="4" t="s">
        <v>792</v>
      </c>
    </row>
    <row r="112" spans="1:16" x14ac:dyDescent="0.25">
      <c r="A112" s="3" t="str">
        <f t="shared" si="1"/>
        <v>BANOR31</v>
      </c>
      <c r="B112" s="3" t="s">
        <v>171</v>
      </c>
      <c r="C112" s="3" t="s">
        <v>147</v>
      </c>
      <c r="D112" s="3" t="s">
        <v>105</v>
      </c>
      <c r="E112" s="3" t="s">
        <v>99</v>
      </c>
      <c r="F112" s="3" t="s">
        <v>168</v>
      </c>
      <c r="G112" s="4" t="s">
        <v>125</v>
      </c>
      <c r="H112" s="7"/>
      <c r="I112" s="4" t="s">
        <v>90</v>
      </c>
      <c r="J112" s="4" t="s">
        <v>789</v>
      </c>
      <c r="K112" s="6"/>
      <c r="L112" s="6"/>
      <c r="M112" s="6"/>
      <c r="N112" s="6"/>
      <c r="P112" s="4" t="s">
        <v>789</v>
      </c>
    </row>
    <row r="113" spans="1:16" x14ac:dyDescent="0.25">
      <c r="A113" s="3" t="str">
        <f t="shared" si="1"/>
        <v>BAPIO31</v>
      </c>
      <c r="B113" s="3" t="s">
        <v>683</v>
      </c>
      <c r="C113" s="3" t="s">
        <v>147</v>
      </c>
      <c r="D113" s="3" t="s">
        <v>103</v>
      </c>
      <c r="E113" s="3" t="s">
        <v>99</v>
      </c>
      <c r="F113" s="3" t="s">
        <v>168</v>
      </c>
      <c r="G113" s="4" t="s">
        <v>125</v>
      </c>
      <c r="H113" s="7">
        <v>4</v>
      </c>
      <c r="I113" s="4" t="s">
        <v>89</v>
      </c>
      <c r="J113" s="4" t="s">
        <v>792</v>
      </c>
      <c r="K113" s="6"/>
      <c r="L113" s="6"/>
      <c r="M113" s="6"/>
      <c r="N113" s="6"/>
      <c r="P113" s="4" t="s">
        <v>792</v>
      </c>
    </row>
    <row r="114" spans="1:16" x14ac:dyDescent="0.25">
      <c r="A114" s="3" t="str">
        <f t="shared" si="1"/>
        <v>CADER41</v>
      </c>
      <c r="B114" s="3" t="s">
        <v>199</v>
      </c>
      <c r="C114" s="3" t="s">
        <v>147</v>
      </c>
      <c r="D114" s="3" t="s">
        <v>103</v>
      </c>
      <c r="E114" s="3" t="s">
        <v>99</v>
      </c>
      <c r="F114" s="3" t="s">
        <v>168</v>
      </c>
      <c r="G114" s="4" t="s">
        <v>130</v>
      </c>
      <c r="H114" s="7">
        <v>3</v>
      </c>
      <c r="I114" s="4" t="s">
        <v>89</v>
      </c>
      <c r="J114" s="4" t="s">
        <v>789</v>
      </c>
      <c r="K114" s="6"/>
      <c r="L114" s="6"/>
      <c r="M114" s="6"/>
      <c r="N114" s="6"/>
      <c r="P114" s="4" t="s">
        <v>789</v>
      </c>
    </row>
    <row r="115" spans="1:16" x14ac:dyDescent="0.25">
      <c r="A115" s="3" t="str">
        <f t="shared" si="1"/>
        <v>COVID51</v>
      </c>
      <c r="B115" s="3" t="s">
        <v>207</v>
      </c>
      <c r="C115" s="3" t="s">
        <v>147</v>
      </c>
      <c r="D115" s="3" t="s">
        <v>150</v>
      </c>
      <c r="E115" s="3" t="s">
        <v>99</v>
      </c>
      <c r="F115" s="3" t="s">
        <v>168</v>
      </c>
      <c r="G115" s="4" t="s">
        <v>135</v>
      </c>
      <c r="H115" s="7"/>
      <c r="I115" s="4" t="s">
        <v>92</v>
      </c>
      <c r="J115" s="4" t="s">
        <v>790</v>
      </c>
      <c r="K115" s="6"/>
      <c r="L115" s="6"/>
      <c r="M115" s="6"/>
      <c r="N115" s="6"/>
      <c r="P115" s="4" t="s">
        <v>790</v>
      </c>
    </row>
    <row r="116" spans="1:16" x14ac:dyDescent="0.25">
      <c r="A116" s="3" t="str">
        <f t="shared" si="1"/>
        <v>ESETH91</v>
      </c>
      <c r="B116" s="3" t="s">
        <v>236</v>
      </c>
      <c r="C116" s="3" t="s">
        <v>147</v>
      </c>
      <c r="D116" s="3" t="s">
        <v>105</v>
      </c>
      <c r="E116" s="3" t="s">
        <v>99</v>
      </c>
      <c r="F116" s="3" t="s">
        <v>168</v>
      </c>
      <c r="G116" s="4" t="s">
        <v>434</v>
      </c>
      <c r="H116" s="7"/>
      <c r="I116" s="4" t="s">
        <v>90</v>
      </c>
      <c r="J116" s="4" t="s">
        <v>792</v>
      </c>
      <c r="K116" s="6"/>
      <c r="L116" s="6"/>
      <c r="M116" s="6"/>
      <c r="N116" s="6"/>
      <c r="P116" s="4" t="s">
        <v>792</v>
      </c>
    </row>
    <row r="117" spans="1:16" x14ac:dyDescent="0.25">
      <c r="A117" s="3" t="str">
        <f t="shared" si="1"/>
        <v>GOUIS121</v>
      </c>
      <c r="B117" s="3" t="s">
        <v>715</v>
      </c>
      <c r="C117" s="3" t="s">
        <v>147</v>
      </c>
      <c r="D117" s="3" t="s">
        <v>105</v>
      </c>
      <c r="E117" s="3" t="s">
        <v>99</v>
      </c>
      <c r="F117" s="3" t="s">
        <v>168</v>
      </c>
      <c r="G117" s="4" t="s">
        <v>444</v>
      </c>
      <c r="H117" s="7">
        <v>2</v>
      </c>
      <c r="I117" s="4" t="s">
        <v>89</v>
      </c>
      <c r="J117" s="4" t="s">
        <v>792</v>
      </c>
      <c r="K117" s="6"/>
      <c r="L117" s="6"/>
      <c r="M117" s="6"/>
      <c r="N117" s="6"/>
      <c r="P117" s="4" t="s">
        <v>792</v>
      </c>
    </row>
    <row r="118" spans="1:16" x14ac:dyDescent="0.25">
      <c r="A118" s="3" t="str">
        <f t="shared" si="1"/>
        <v>HILFO34</v>
      </c>
      <c r="B118" s="3" t="s">
        <v>272</v>
      </c>
      <c r="C118" s="3" t="s">
        <v>147</v>
      </c>
      <c r="D118" s="3" t="s">
        <v>103</v>
      </c>
      <c r="E118" s="3" t="s">
        <v>99</v>
      </c>
      <c r="F118" s="3" t="s">
        <v>168</v>
      </c>
      <c r="G118" s="4" t="s">
        <v>464</v>
      </c>
      <c r="H118" s="7">
        <v>1</v>
      </c>
      <c r="I118" s="4" t="s">
        <v>89</v>
      </c>
      <c r="J118" s="4" t="s">
        <v>789</v>
      </c>
      <c r="K118" s="6"/>
      <c r="L118" s="6"/>
      <c r="M118" s="6"/>
      <c r="N118" s="6"/>
      <c r="P118" s="4" t="s">
        <v>789</v>
      </c>
    </row>
    <row r="119" spans="1:16" x14ac:dyDescent="0.25">
      <c r="A119" s="3" t="str">
        <f t="shared" si="1"/>
        <v>HUGAR104</v>
      </c>
      <c r="B119" s="3" t="s">
        <v>279</v>
      </c>
      <c r="C119" s="3" t="s">
        <v>147</v>
      </c>
      <c r="D119" s="3" t="s">
        <v>103</v>
      </c>
      <c r="E119" s="3" t="s">
        <v>99</v>
      </c>
      <c r="F119" s="3" t="s">
        <v>168</v>
      </c>
      <c r="G119" s="4" t="s">
        <v>471</v>
      </c>
      <c r="H119" s="7">
        <v>2</v>
      </c>
      <c r="I119" s="4" t="s">
        <v>91</v>
      </c>
      <c r="J119" s="4" t="s">
        <v>789</v>
      </c>
      <c r="K119" s="6"/>
      <c r="L119" s="6"/>
      <c r="M119" s="6"/>
      <c r="N119" s="6"/>
      <c r="P119" s="4" t="s">
        <v>789</v>
      </c>
    </row>
    <row r="120" spans="1:16" x14ac:dyDescent="0.25">
      <c r="A120" s="3" t="str">
        <f t="shared" si="1"/>
        <v>HUUIS64</v>
      </c>
      <c r="B120" s="3" t="s">
        <v>277</v>
      </c>
      <c r="C120" s="3" t="s">
        <v>147</v>
      </c>
      <c r="D120" s="3" t="s">
        <v>103</v>
      </c>
      <c r="E120" s="3" t="s">
        <v>99</v>
      </c>
      <c r="F120" s="3" t="s">
        <v>168</v>
      </c>
      <c r="G120" s="4" t="s">
        <v>467</v>
      </c>
      <c r="H120" s="7">
        <v>1</v>
      </c>
      <c r="I120" s="4" t="s">
        <v>92</v>
      </c>
      <c r="J120" s="4" t="s">
        <v>789</v>
      </c>
      <c r="K120" s="6"/>
      <c r="L120" s="6"/>
      <c r="M120" s="6"/>
      <c r="N120" s="6"/>
      <c r="P120" s="4" t="s">
        <v>789</v>
      </c>
    </row>
    <row r="121" spans="1:16" x14ac:dyDescent="0.25">
      <c r="A121" s="3" t="str">
        <f t="shared" si="1"/>
        <v>HUMER64</v>
      </c>
      <c r="B121" s="3" t="s">
        <v>720</v>
      </c>
      <c r="C121" s="3" t="s">
        <v>147</v>
      </c>
      <c r="D121" s="3" t="s">
        <v>103</v>
      </c>
      <c r="E121" s="3" t="s">
        <v>99</v>
      </c>
      <c r="F121" s="3" t="s">
        <v>168</v>
      </c>
      <c r="G121" s="4" t="s">
        <v>467</v>
      </c>
      <c r="H121" s="7">
        <v>4</v>
      </c>
      <c r="I121" s="4" t="s">
        <v>91</v>
      </c>
      <c r="J121" s="4" t="s">
        <v>789</v>
      </c>
      <c r="K121" s="6"/>
      <c r="L121" s="6"/>
      <c r="M121" s="6"/>
      <c r="N121" s="6"/>
      <c r="P121" s="4" t="s">
        <v>789</v>
      </c>
    </row>
    <row r="122" spans="1:16" x14ac:dyDescent="0.25">
      <c r="A122" s="3" t="str">
        <f t="shared" si="1"/>
        <v>HUIRO85</v>
      </c>
      <c r="B122" s="3" t="s">
        <v>721</v>
      </c>
      <c r="C122" s="3" t="s">
        <v>147</v>
      </c>
      <c r="D122" s="3" t="s">
        <v>105</v>
      </c>
      <c r="E122" s="3" t="s">
        <v>99</v>
      </c>
      <c r="F122" s="3" t="s">
        <v>168</v>
      </c>
      <c r="G122" s="4" t="s">
        <v>482</v>
      </c>
      <c r="H122" s="7">
        <v>5</v>
      </c>
      <c r="I122" s="4" t="s">
        <v>92</v>
      </c>
      <c r="J122" s="4" t="s">
        <v>792</v>
      </c>
      <c r="K122" s="6"/>
      <c r="L122" s="6"/>
      <c r="M122" s="6"/>
      <c r="N122" s="6"/>
      <c r="P122" s="4" t="s">
        <v>792</v>
      </c>
    </row>
    <row r="123" spans="1:16" x14ac:dyDescent="0.25">
      <c r="A123" s="3" t="str">
        <f t="shared" si="1"/>
        <v>JUMIN56</v>
      </c>
      <c r="B123" s="3" t="s">
        <v>728</v>
      </c>
      <c r="C123" s="3" t="s">
        <v>147</v>
      </c>
      <c r="D123" s="3" t="s">
        <v>103</v>
      </c>
      <c r="E123" s="3" t="s">
        <v>99</v>
      </c>
      <c r="F123" s="3" t="s">
        <v>168</v>
      </c>
      <c r="G123" s="4" t="s">
        <v>494</v>
      </c>
      <c r="H123" s="7">
        <v>6</v>
      </c>
      <c r="I123" s="4" t="s">
        <v>92</v>
      </c>
      <c r="J123" s="4" t="s">
        <v>789</v>
      </c>
      <c r="K123" s="6"/>
      <c r="L123" s="6"/>
      <c r="M123" s="6"/>
      <c r="N123" s="6"/>
      <c r="P123" s="4" t="s">
        <v>789</v>
      </c>
    </row>
    <row r="124" spans="1:16" x14ac:dyDescent="0.25">
      <c r="A124" s="3" t="str">
        <f t="shared" si="1"/>
        <v>JUOSE56</v>
      </c>
      <c r="B124" s="3" t="s">
        <v>729</v>
      </c>
      <c r="C124" s="3" t="s">
        <v>147</v>
      </c>
      <c r="D124" s="3" t="s">
        <v>103</v>
      </c>
      <c r="E124" s="3" t="s">
        <v>99</v>
      </c>
      <c r="F124" s="3" t="s">
        <v>168</v>
      </c>
      <c r="G124" s="4" t="s">
        <v>494</v>
      </c>
      <c r="H124" s="7">
        <v>2</v>
      </c>
      <c r="I124" s="4" t="s">
        <v>92</v>
      </c>
      <c r="J124" s="4" t="s">
        <v>789</v>
      </c>
      <c r="K124" s="6"/>
      <c r="L124" s="6"/>
      <c r="M124" s="6"/>
      <c r="N124" s="6"/>
      <c r="P124" s="4" t="s">
        <v>789</v>
      </c>
    </row>
    <row r="125" spans="1:16" x14ac:dyDescent="0.25">
      <c r="A125" s="3" t="str">
        <f t="shared" si="1"/>
        <v>MABLO47</v>
      </c>
      <c r="B125" s="3" t="s">
        <v>318</v>
      </c>
      <c r="C125" s="3" t="s">
        <v>147</v>
      </c>
      <c r="D125" s="3" t="s">
        <v>103</v>
      </c>
      <c r="E125" s="3" t="s">
        <v>99</v>
      </c>
      <c r="F125" s="3" t="s">
        <v>168</v>
      </c>
      <c r="G125" s="4" t="s">
        <v>507</v>
      </c>
      <c r="H125" s="7">
        <v>3</v>
      </c>
      <c r="I125" s="4" t="s">
        <v>89</v>
      </c>
      <c r="J125" s="4" t="s">
        <v>789</v>
      </c>
      <c r="K125" s="6"/>
      <c r="L125" s="6"/>
      <c r="M125" s="6"/>
      <c r="N125" s="6"/>
      <c r="P125" s="4" t="s">
        <v>789</v>
      </c>
    </row>
    <row r="126" spans="1:16" x14ac:dyDescent="0.25">
      <c r="A126" s="3" t="str">
        <f t="shared" si="1"/>
        <v>MARED47</v>
      </c>
      <c r="B126" s="3" t="s">
        <v>320</v>
      </c>
      <c r="C126" s="3" t="s">
        <v>147</v>
      </c>
      <c r="D126" s="3" t="s">
        <v>103</v>
      </c>
      <c r="E126" s="3" t="s">
        <v>99</v>
      </c>
      <c r="F126" s="3" t="s">
        <v>168</v>
      </c>
      <c r="G126" s="4" t="s">
        <v>507</v>
      </c>
      <c r="H126" s="7">
        <v>1</v>
      </c>
      <c r="I126" s="4" t="s">
        <v>92</v>
      </c>
      <c r="J126" s="4" t="s">
        <v>789</v>
      </c>
      <c r="K126" s="6"/>
      <c r="L126" s="6"/>
      <c r="M126" s="6"/>
      <c r="N126" s="6"/>
      <c r="P126" s="4" t="s">
        <v>789</v>
      </c>
    </row>
    <row r="127" spans="1:16" x14ac:dyDescent="0.25">
      <c r="A127" s="3" t="str">
        <f t="shared" si="1"/>
        <v>MAINO67</v>
      </c>
      <c r="B127" s="3" t="s">
        <v>325</v>
      </c>
      <c r="C127" s="3" t="s">
        <v>147</v>
      </c>
      <c r="D127" s="3" t="s">
        <v>103</v>
      </c>
      <c r="E127" s="3" t="s">
        <v>99</v>
      </c>
      <c r="F127" s="3" t="s">
        <v>168</v>
      </c>
      <c r="G127" s="4" t="s">
        <v>510</v>
      </c>
      <c r="H127" s="7">
        <v>1</v>
      </c>
      <c r="I127" s="4" t="s">
        <v>89</v>
      </c>
      <c r="J127" s="4" t="s">
        <v>789</v>
      </c>
      <c r="K127" s="6"/>
      <c r="L127" s="6"/>
      <c r="M127" s="6"/>
      <c r="N127" s="6"/>
      <c r="P127" s="4" t="s">
        <v>789</v>
      </c>
    </row>
    <row r="128" spans="1:16" x14ac:dyDescent="0.25">
      <c r="A128" s="3" t="str">
        <f t="shared" si="1"/>
        <v>MEWIN117</v>
      </c>
      <c r="B128" s="3" t="s">
        <v>740</v>
      </c>
      <c r="C128" s="3" t="s">
        <v>147</v>
      </c>
      <c r="D128" s="3" t="s">
        <v>103</v>
      </c>
      <c r="E128" s="3" t="s">
        <v>99</v>
      </c>
      <c r="F128" s="3" t="s">
        <v>168</v>
      </c>
      <c r="G128" s="4" t="s">
        <v>516</v>
      </c>
      <c r="H128" s="7">
        <v>6</v>
      </c>
      <c r="I128" s="4" t="s">
        <v>91</v>
      </c>
      <c r="J128" s="4" t="s">
        <v>789</v>
      </c>
      <c r="K128" s="6"/>
      <c r="L128" s="6"/>
      <c r="M128" s="6"/>
      <c r="N128" s="6"/>
      <c r="P128" s="4" t="s">
        <v>789</v>
      </c>
    </row>
    <row r="129" spans="1:16" x14ac:dyDescent="0.25">
      <c r="A129" s="3" t="str">
        <f t="shared" si="1"/>
        <v>OSDRO610</v>
      </c>
      <c r="B129" s="3" t="s">
        <v>351</v>
      </c>
      <c r="C129" s="3" t="s">
        <v>147</v>
      </c>
      <c r="D129" s="3" t="s">
        <v>103</v>
      </c>
      <c r="E129" s="3" t="s">
        <v>99</v>
      </c>
      <c r="F129" s="3" t="s">
        <v>168</v>
      </c>
      <c r="G129" s="4" t="s">
        <v>546</v>
      </c>
      <c r="H129" s="7">
        <v>2</v>
      </c>
      <c r="I129" s="4" t="s">
        <v>89</v>
      </c>
      <c r="J129" s="4" t="s">
        <v>789</v>
      </c>
      <c r="K129" s="6"/>
      <c r="L129" s="6"/>
      <c r="M129" s="6"/>
      <c r="N129" s="6"/>
      <c r="P129" s="4" t="s">
        <v>789</v>
      </c>
    </row>
    <row r="130" spans="1:16" x14ac:dyDescent="0.25">
      <c r="A130" s="3" t="str">
        <f t="shared" ref="A130:A193" si="2">+CONCATENATE(LEFT(B130,2),RIGHT(B130,3),MONTH(G130),DAY(G130))</f>
        <v>PULOS912</v>
      </c>
      <c r="B130" s="3" t="s">
        <v>371</v>
      </c>
      <c r="C130" s="3" t="s">
        <v>147</v>
      </c>
      <c r="D130" s="3" t="s">
        <v>105</v>
      </c>
      <c r="E130" s="3" t="s">
        <v>99</v>
      </c>
      <c r="F130" s="3" t="s">
        <v>168</v>
      </c>
      <c r="G130" s="4" t="s">
        <v>576</v>
      </c>
      <c r="H130" s="7">
        <v>5</v>
      </c>
      <c r="I130" s="4" t="s">
        <v>89</v>
      </c>
      <c r="J130" s="4" t="s">
        <v>789</v>
      </c>
      <c r="K130" s="6"/>
      <c r="L130" s="6"/>
      <c r="M130" s="6"/>
      <c r="N130" s="6"/>
      <c r="P130" s="4" t="s">
        <v>789</v>
      </c>
    </row>
    <row r="131" spans="1:16" x14ac:dyDescent="0.25">
      <c r="A131" s="3" t="str">
        <f t="shared" si="2"/>
        <v>ROUIS1016</v>
      </c>
      <c r="B131" s="3" t="s">
        <v>410</v>
      </c>
      <c r="C131" s="3" t="s">
        <v>147</v>
      </c>
      <c r="D131" s="3" t="s">
        <v>103</v>
      </c>
      <c r="E131" s="3" t="s">
        <v>99</v>
      </c>
      <c r="F131" s="3" t="s">
        <v>168</v>
      </c>
      <c r="G131" s="4" t="s">
        <v>630</v>
      </c>
      <c r="H131" s="7">
        <v>3</v>
      </c>
      <c r="I131" s="4" t="s">
        <v>91</v>
      </c>
      <c r="J131" s="4" t="s">
        <v>789</v>
      </c>
      <c r="K131" s="6"/>
      <c r="L131" s="6"/>
      <c r="M131" s="6"/>
      <c r="N131" s="6"/>
      <c r="P131" s="4" t="s">
        <v>789</v>
      </c>
    </row>
    <row r="132" spans="1:16" x14ac:dyDescent="0.25">
      <c r="A132" s="3" t="str">
        <f t="shared" si="2"/>
        <v>ROANO715</v>
      </c>
      <c r="B132" s="3" t="s">
        <v>398</v>
      </c>
      <c r="C132" s="3" t="s">
        <v>147</v>
      </c>
      <c r="D132" s="3" t="s">
        <v>150</v>
      </c>
      <c r="E132" s="3" t="s">
        <v>99</v>
      </c>
      <c r="F132" s="3" t="s">
        <v>168</v>
      </c>
      <c r="G132" s="4" t="s">
        <v>618</v>
      </c>
      <c r="H132" s="7">
        <v>3</v>
      </c>
      <c r="I132" s="4" t="s">
        <v>89</v>
      </c>
      <c r="J132" s="4" t="s">
        <v>792</v>
      </c>
      <c r="K132" s="6"/>
      <c r="L132" s="6"/>
      <c r="M132" s="6"/>
      <c r="N132" s="6"/>
      <c r="P132" s="4" t="s">
        <v>792</v>
      </c>
    </row>
    <row r="133" spans="1:16" x14ac:dyDescent="0.25">
      <c r="A133" s="3" t="str">
        <f t="shared" si="2"/>
        <v>RORTO916</v>
      </c>
      <c r="B133" s="3" t="s">
        <v>408</v>
      </c>
      <c r="C133" s="3" t="s">
        <v>147</v>
      </c>
      <c r="D133" s="3" t="s">
        <v>103</v>
      </c>
      <c r="E133" s="3" t="s">
        <v>99</v>
      </c>
      <c r="F133" s="3" t="s">
        <v>168</v>
      </c>
      <c r="G133" s="4" t="s">
        <v>629</v>
      </c>
      <c r="H133" s="7">
        <v>1</v>
      </c>
      <c r="I133" s="4" t="s">
        <v>90</v>
      </c>
      <c r="J133" s="4" t="s">
        <v>789</v>
      </c>
      <c r="K133" s="6"/>
      <c r="L133" s="6"/>
      <c r="M133" s="6"/>
      <c r="N133" s="6"/>
      <c r="P133" s="4" t="s">
        <v>789</v>
      </c>
    </row>
    <row r="134" spans="1:16" x14ac:dyDescent="0.25">
      <c r="A134" s="3" t="str">
        <f t="shared" si="2"/>
        <v>AVTOR31</v>
      </c>
      <c r="B134" s="3" t="s">
        <v>649</v>
      </c>
      <c r="C134" s="3" t="s">
        <v>147</v>
      </c>
      <c r="D134" s="3" t="s">
        <v>103</v>
      </c>
      <c r="E134" s="3" t="s">
        <v>101</v>
      </c>
      <c r="F134" s="3" t="s">
        <v>169</v>
      </c>
      <c r="G134" s="4" t="s">
        <v>125</v>
      </c>
      <c r="H134" s="7">
        <v>1</v>
      </c>
      <c r="I134" s="4" t="s">
        <v>89</v>
      </c>
      <c r="J134" s="4" t="s">
        <v>792</v>
      </c>
      <c r="K134" s="6"/>
      <c r="L134" s="6"/>
      <c r="M134" s="6"/>
      <c r="N134" s="6"/>
      <c r="P134" s="4" t="s">
        <v>792</v>
      </c>
    </row>
    <row r="135" spans="1:16" x14ac:dyDescent="0.25">
      <c r="A135" s="3" t="str">
        <f t="shared" si="2"/>
        <v>BARTO31</v>
      </c>
      <c r="B135" s="3" t="s">
        <v>20</v>
      </c>
      <c r="C135" s="3" t="s">
        <v>147</v>
      </c>
      <c r="D135" s="3" t="s">
        <v>103</v>
      </c>
      <c r="E135" s="3" t="s">
        <v>101</v>
      </c>
      <c r="F135" s="3" t="s">
        <v>169</v>
      </c>
      <c r="G135" s="4" t="s">
        <v>125</v>
      </c>
      <c r="H135" s="7">
        <v>1</v>
      </c>
      <c r="I135" s="4" t="s">
        <v>89</v>
      </c>
      <c r="J135" s="4" t="s">
        <v>792</v>
      </c>
      <c r="K135" s="6"/>
      <c r="L135" s="6"/>
      <c r="M135" s="6"/>
      <c r="N135" s="6"/>
      <c r="P135" s="4" t="s">
        <v>792</v>
      </c>
    </row>
    <row r="136" spans="1:16" x14ac:dyDescent="0.25">
      <c r="A136" s="3" t="str">
        <f t="shared" si="2"/>
        <v>CAWIN41</v>
      </c>
      <c r="B136" s="3" t="s">
        <v>650</v>
      </c>
      <c r="C136" s="3" t="s">
        <v>147</v>
      </c>
      <c r="D136" s="3" t="s">
        <v>103</v>
      </c>
      <c r="E136" s="3" t="s">
        <v>101</v>
      </c>
      <c r="F136" s="3" t="s">
        <v>169</v>
      </c>
      <c r="G136" s="4" t="s">
        <v>130</v>
      </c>
      <c r="H136" s="7">
        <v>3</v>
      </c>
      <c r="I136" s="4" t="s">
        <v>91</v>
      </c>
      <c r="J136" s="4" t="s">
        <v>790</v>
      </c>
      <c r="K136" s="6"/>
      <c r="L136" s="6"/>
      <c r="M136" s="6"/>
      <c r="N136" s="6"/>
      <c r="P136" s="4" t="s">
        <v>790</v>
      </c>
    </row>
    <row r="137" spans="1:16" x14ac:dyDescent="0.25">
      <c r="A137" s="3" t="str">
        <f t="shared" si="2"/>
        <v>COSUS61</v>
      </c>
      <c r="B137" s="3" t="s">
        <v>21</v>
      </c>
      <c r="C137" s="3" t="s">
        <v>147</v>
      </c>
      <c r="D137" s="3" t="s">
        <v>105</v>
      </c>
      <c r="E137" s="3" t="s">
        <v>101</v>
      </c>
      <c r="F137" s="3" t="s">
        <v>169</v>
      </c>
      <c r="G137" s="4" t="s">
        <v>140</v>
      </c>
      <c r="H137" s="7"/>
      <c r="I137" s="4" t="s">
        <v>89</v>
      </c>
      <c r="J137" s="4" t="s">
        <v>792</v>
      </c>
      <c r="K137" s="6"/>
      <c r="L137" s="6"/>
      <c r="M137" s="6"/>
      <c r="N137" s="6"/>
      <c r="P137" s="4" t="s">
        <v>792</v>
      </c>
    </row>
    <row r="138" spans="1:16" x14ac:dyDescent="0.25">
      <c r="A138" s="3" t="str">
        <f t="shared" si="2"/>
        <v>HULOS75</v>
      </c>
      <c r="B138" s="3" t="s">
        <v>652</v>
      </c>
      <c r="C138" s="3" t="s">
        <v>147</v>
      </c>
      <c r="D138" s="3" t="s">
        <v>150</v>
      </c>
      <c r="E138" s="3" t="s">
        <v>101</v>
      </c>
      <c r="F138" s="3" t="s">
        <v>169</v>
      </c>
      <c r="G138" s="4" t="s">
        <v>480</v>
      </c>
      <c r="H138" s="7">
        <v>2</v>
      </c>
      <c r="I138" s="4" t="s">
        <v>89</v>
      </c>
      <c r="J138" s="4" t="s">
        <v>792</v>
      </c>
      <c r="K138" s="6"/>
      <c r="L138" s="6"/>
      <c r="M138" s="6"/>
      <c r="N138" s="6"/>
      <c r="P138" s="4" t="s">
        <v>792</v>
      </c>
    </row>
    <row r="139" spans="1:16" x14ac:dyDescent="0.25">
      <c r="A139" s="3" t="str">
        <f t="shared" si="2"/>
        <v>LORGE47</v>
      </c>
      <c r="B139" s="3" t="s">
        <v>653</v>
      </c>
      <c r="C139" s="3" t="s">
        <v>147</v>
      </c>
      <c r="D139" s="3" t="s">
        <v>103</v>
      </c>
      <c r="E139" s="3" t="s">
        <v>101</v>
      </c>
      <c r="F139" s="3" t="s">
        <v>169</v>
      </c>
      <c r="G139" s="4" t="s">
        <v>507</v>
      </c>
      <c r="H139" s="7">
        <v>2</v>
      </c>
      <c r="I139" s="4" t="s">
        <v>91</v>
      </c>
      <c r="J139" s="4" t="s">
        <v>792</v>
      </c>
      <c r="K139" s="6"/>
      <c r="L139" s="6"/>
      <c r="M139" s="6"/>
      <c r="N139" s="6"/>
      <c r="P139" s="4" t="s">
        <v>792</v>
      </c>
    </row>
    <row r="140" spans="1:16" x14ac:dyDescent="0.25">
      <c r="A140" s="3" t="str">
        <f t="shared" si="2"/>
        <v>ORUEL410</v>
      </c>
      <c r="B140" s="3" t="s">
        <v>31</v>
      </c>
      <c r="C140" s="3" t="s">
        <v>147</v>
      </c>
      <c r="D140" s="3" t="s">
        <v>150</v>
      </c>
      <c r="E140" s="3" t="s">
        <v>101</v>
      </c>
      <c r="F140" s="3" t="s">
        <v>169</v>
      </c>
      <c r="G140" s="4" t="s">
        <v>543</v>
      </c>
      <c r="H140" s="7"/>
      <c r="I140" s="4" t="s">
        <v>91</v>
      </c>
      <c r="J140" s="4" t="s">
        <v>789</v>
      </c>
      <c r="K140" s="6"/>
      <c r="L140" s="6"/>
      <c r="M140" s="6"/>
      <c r="N140" s="6"/>
      <c r="P140" s="4" t="s">
        <v>789</v>
      </c>
    </row>
    <row r="141" spans="1:16" x14ac:dyDescent="0.25">
      <c r="A141" s="3" t="str">
        <f t="shared" si="2"/>
        <v>POMIO512</v>
      </c>
      <c r="B141" s="3" t="s">
        <v>654</v>
      </c>
      <c r="C141" s="3" t="s">
        <v>147</v>
      </c>
      <c r="D141" s="3" t="s">
        <v>150</v>
      </c>
      <c r="E141" s="3" t="s">
        <v>101</v>
      </c>
      <c r="F141" s="3" t="s">
        <v>169</v>
      </c>
      <c r="G141" s="4" t="s">
        <v>572</v>
      </c>
      <c r="H141" s="7">
        <v>2</v>
      </c>
      <c r="I141" s="4" t="s">
        <v>89</v>
      </c>
      <c r="J141" s="4" t="s">
        <v>790</v>
      </c>
      <c r="K141" s="6"/>
      <c r="L141" s="6"/>
      <c r="M141" s="6"/>
      <c r="N141" s="6"/>
      <c r="P141" s="4" t="s">
        <v>790</v>
      </c>
    </row>
    <row r="142" spans="1:16" x14ac:dyDescent="0.25">
      <c r="A142" s="3" t="str">
        <f t="shared" si="2"/>
        <v>QUTER413</v>
      </c>
      <c r="B142" s="3" t="s">
        <v>655</v>
      </c>
      <c r="C142" s="3" t="s">
        <v>147</v>
      </c>
      <c r="D142" s="3" t="s">
        <v>105</v>
      </c>
      <c r="E142" s="3" t="s">
        <v>101</v>
      </c>
      <c r="F142" s="3" t="s">
        <v>169</v>
      </c>
      <c r="G142" s="4" t="s">
        <v>583</v>
      </c>
      <c r="H142" s="7"/>
      <c r="I142" s="4" t="s">
        <v>89</v>
      </c>
      <c r="J142" s="4" t="s">
        <v>789</v>
      </c>
      <c r="K142" s="6"/>
      <c r="L142" s="6"/>
      <c r="M142" s="6"/>
      <c r="N142" s="6"/>
      <c r="P142" s="4" t="s">
        <v>789</v>
      </c>
    </row>
    <row r="143" spans="1:16" x14ac:dyDescent="0.25">
      <c r="A143" s="3" t="str">
        <f t="shared" si="2"/>
        <v>RARTO1113</v>
      </c>
      <c r="B143" s="3" t="s">
        <v>33</v>
      </c>
      <c r="C143" s="3" t="s">
        <v>147</v>
      </c>
      <c r="D143" s="3" t="s">
        <v>105</v>
      </c>
      <c r="E143" s="3" t="s">
        <v>101</v>
      </c>
      <c r="F143" s="3" t="s">
        <v>169</v>
      </c>
      <c r="G143" s="4" t="s">
        <v>588</v>
      </c>
      <c r="H143" s="7">
        <v>3</v>
      </c>
      <c r="I143" s="4" t="s">
        <v>91</v>
      </c>
      <c r="J143" s="4" t="s">
        <v>789</v>
      </c>
      <c r="K143" s="6"/>
      <c r="L143" s="6"/>
      <c r="M143" s="6"/>
      <c r="N143" s="6"/>
      <c r="P143" s="4" t="s">
        <v>789</v>
      </c>
    </row>
    <row r="144" spans="1:16" x14ac:dyDescent="0.25">
      <c r="A144" s="3" t="str">
        <f t="shared" si="2"/>
        <v>GASUE121</v>
      </c>
      <c r="B144" s="3" t="s">
        <v>254</v>
      </c>
      <c r="C144" s="3" t="s">
        <v>147</v>
      </c>
      <c r="D144" s="3" t="s">
        <v>150</v>
      </c>
      <c r="E144" s="3" t="s">
        <v>99</v>
      </c>
      <c r="F144" s="3" t="s">
        <v>255</v>
      </c>
      <c r="G144" s="4" t="s">
        <v>444</v>
      </c>
      <c r="H144" s="7">
        <v>2</v>
      </c>
      <c r="I144" s="4" t="s">
        <v>89</v>
      </c>
      <c r="J144" s="4" t="s">
        <v>797</v>
      </c>
      <c r="K144" s="6"/>
      <c r="L144" s="6"/>
      <c r="M144" s="6"/>
      <c r="N144" s="6"/>
      <c r="P144" s="4" t="s">
        <v>797</v>
      </c>
    </row>
    <row r="145" spans="1:16" x14ac:dyDescent="0.25">
      <c r="A145" s="3" t="str">
        <f t="shared" si="2"/>
        <v>LAHON106</v>
      </c>
      <c r="B145" s="3" t="s">
        <v>730</v>
      </c>
      <c r="C145" s="3" t="s">
        <v>147</v>
      </c>
      <c r="D145" s="3" t="s">
        <v>150</v>
      </c>
      <c r="E145" s="3" t="s">
        <v>99</v>
      </c>
      <c r="F145" s="3" t="s">
        <v>255</v>
      </c>
      <c r="G145" s="4" t="s">
        <v>498</v>
      </c>
      <c r="H145" s="7">
        <v>3</v>
      </c>
      <c r="I145" s="4" t="s">
        <v>89</v>
      </c>
      <c r="J145" s="4" t="s">
        <v>793</v>
      </c>
      <c r="K145" s="6"/>
      <c r="L145" s="6"/>
      <c r="M145" s="6"/>
      <c r="N145" s="6"/>
      <c r="P145" s="4" t="s">
        <v>793</v>
      </c>
    </row>
    <row r="146" spans="1:16" x14ac:dyDescent="0.25">
      <c r="A146" s="3" t="str">
        <f t="shared" si="2"/>
        <v>BRSAR41</v>
      </c>
      <c r="B146" s="3" t="s">
        <v>688</v>
      </c>
      <c r="C146" s="3" t="s">
        <v>147</v>
      </c>
      <c r="D146" s="3" t="s">
        <v>103</v>
      </c>
      <c r="E146" s="3" t="s">
        <v>99</v>
      </c>
      <c r="F146" s="3" t="s">
        <v>170</v>
      </c>
      <c r="G146" s="4" t="s">
        <v>130</v>
      </c>
      <c r="H146" s="7">
        <v>1</v>
      </c>
      <c r="I146" s="4" t="s">
        <v>89</v>
      </c>
      <c r="J146" s="4" t="s">
        <v>808</v>
      </c>
      <c r="K146" s="6"/>
      <c r="L146" s="6"/>
      <c r="M146" s="6"/>
      <c r="N146" s="6"/>
      <c r="P146" s="4" t="s">
        <v>808</v>
      </c>
    </row>
    <row r="147" spans="1:16" x14ac:dyDescent="0.25">
      <c r="A147" s="3" t="str">
        <f t="shared" si="2"/>
        <v>BUNEO41</v>
      </c>
      <c r="B147" s="3" t="s">
        <v>188</v>
      </c>
      <c r="C147" s="3" t="s">
        <v>147</v>
      </c>
      <c r="D147" s="3" t="s">
        <v>103</v>
      </c>
      <c r="E147" s="3" t="s">
        <v>99</v>
      </c>
      <c r="F147" s="3" t="s">
        <v>170</v>
      </c>
      <c r="G147" s="4" t="s">
        <v>130</v>
      </c>
      <c r="H147" s="7">
        <v>2</v>
      </c>
      <c r="I147" s="4" t="s">
        <v>90</v>
      </c>
      <c r="J147" s="4" t="s">
        <v>809</v>
      </c>
      <c r="K147" s="6"/>
      <c r="L147" s="6"/>
      <c r="M147" s="6"/>
      <c r="N147" s="6"/>
      <c r="P147" s="4" t="s">
        <v>809</v>
      </c>
    </row>
    <row r="148" spans="1:16" x14ac:dyDescent="0.25">
      <c r="A148" s="3" t="str">
        <f t="shared" si="2"/>
        <v>CAIRO41</v>
      </c>
      <c r="B148" s="3" t="s">
        <v>690</v>
      </c>
      <c r="C148" s="3" t="s">
        <v>147</v>
      </c>
      <c r="D148" s="3" t="s">
        <v>105</v>
      </c>
      <c r="E148" s="3" t="s">
        <v>99</v>
      </c>
      <c r="F148" s="3" t="s">
        <v>170</v>
      </c>
      <c r="G148" s="4" t="s">
        <v>130</v>
      </c>
      <c r="H148" s="7">
        <v>1</v>
      </c>
      <c r="I148" s="4" t="s">
        <v>89</v>
      </c>
      <c r="J148" s="4" t="s">
        <v>808</v>
      </c>
      <c r="K148" s="6"/>
      <c r="L148" s="6"/>
      <c r="M148" s="6"/>
      <c r="N148" s="6"/>
      <c r="P148" s="4" t="s">
        <v>808</v>
      </c>
    </row>
    <row r="149" spans="1:16" x14ac:dyDescent="0.25">
      <c r="A149" s="3" t="str">
        <f t="shared" si="2"/>
        <v>ESMER101</v>
      </c>
      <c r="B149" s="3" t="s">
        <v>243</v>
      </c>
      <c r="C149" s="3" t="s">
        <v>147</v>
      </c>
      <c r="D149" s="3" t="s">
        <v>105</v>
      </c>
      <c r="E149" s="3" t="s">
        <v>99</v>
      </c>
      <c r="F149" s="3" t="s">
        <v>170</v>
      </c>
      <c r="G149" s="4" t="s">
        <v>437</v>
      </c>
      <c r="H149" s="7"/>
      <c r="I149" s="4" t="s">
        <v>90</v>
      </c>
      <c r="J149" s="4" t="s">
        <v>808</v>
      </c>
      <c r="K149" s="6"/>
      <c r="L149" s="6"/>
      <c r="M149" s="6"/>
      <c r="N149" s="6"/>
      <c r="P149" s="4" t="s">
        <v>808</v>
      </c>
    </row>
    <row r="150" spans="1:16" x14ac:dyDescent="0.25">
      <c r="A150" s="3" t="str">
        <f t="shared" si="2"/>
        <v>GUDRO53</v>
      </c>
      <c r="B150" s="3" t="s">
        <v>262</v>
      </c>
      <c r="C150" s="3" t="s">
        <v>147</v>
      </c>
      <c r="D150" s="3" t="s">
        <v>103</v>
      </c>
      <c r="E150" s="3" t="s">
        <v>99</v>
      </c>
      <c r="F150" s="3" t="s">
        <v>170</v>
      </c>
      <c r="G150" s="4" t="s">
        <v>454</v>
      </c>
      <c r="H150" s="7"/>
      <c r="I150" s="4" t="s">
        <v>89</v>
      </c>
      <c r="J150" s="4" t="s">
        <v>786</v>
      </c>
      <c r="K150" s="6"/>
      <c r="L150" s="6"/>
      <c r="M150" s="6"/>
      <c r="N150" s="6"/>
      <c r="P150" s="4" t="s">
        <v>786</v>
      </c>
    </row>
    <row r="151" spans="1:16" x14ac:dyDescent="0.25">
      <c r="A151" s="3" t="str">
        <f t="shared" si="2"/>
        <v>HUVID44</v>
      </c>
      <c r="B151" s="3" t="s">
        <v>275</v>
      </c>
      <c r="C151" s="3" t="s">
        <v>147</v>
      </c>
      <c r="D151" s="3" t="s">
        <v>150</v>
      </c>
      <c r="E151" s="3" t="s">
        <v>99</v>
      </c>
      <c r="F151" s="3" t="s">
        <v>170</v>
      </c>
      <c r="G151" s="4" t="s">
        <v>465</v>
      </c>
      <c r="H151" s="7">
        <v>1</v>
      </c>
      <c r="I151" s="4" t="s">
        <v>90</v>
      </c>
      <c r="J151" s="4" t="s">
        <v>810</v>
      </c>
      <c r="K151" s="6"/>
      <c r="L151" s="6"/>
      <c r="M151" s="6"/>
      <c r="N151" s="6"/>
      <c r="P151" s="4" t="s">
        <v>810</v>
      </c>
    </row>
    <row r="152" spans="1:16" x14ac:dyDescent="0.25">
      <c r="A152" s="3" t="str">
        <f t="shared" si="2"/>
        <v>HUICO85</v>
      </c>
      <c r="B152" s="3" t="s">
        <v>291</v>
      </c>
      <c r="C152" s="3" t="s">
        <v>147</v>
      </c>
      <c r="D152" s="3" t="s">
        <v>105</v>
      </c>
      <c r="E152" s="3" t="s">
        <v>99</v>
      </c>
      <c r="F152" s="3" t="s">
        <v>170</v>
      </c>
      <c r="G152" s="4" t="s">
        <v>482</v>
      </c>
      <c r="H152" s="7"/>
      <c r="I152" s="4" t="s">
        <v>89</v>
      </c>
      <c r="J152" s="4" t="s">
        <v>808</v>
      </c>
      <c r="K152" s="6"/>
      <c r="L152" s="6"/>
      <c r="M152" s="6"/>
      <c r="N152" s="6"/>
      <c r="P152" s="4" t="s">
        <v>808</v>
      </c>
    </row>
    <row r="153" spans="1:16" x14ac:dyDescent="0.25">
      <c r="A153" s="3" t="str">
        <f t="shared" si="2"/>
        <v>LEAEL116</v>
      </c>
      <c r="B153" s="3" t="s">
        <v>311</v>
      </c>
      <c r="C153" s="3" t="s">
        <v>147</v>
      </c>
      <c r="D153" s="3" t="s">
        <v>105</v>
      </c>
      <c r="E153" s="3" t="s">
        <v>99</v>
      </c>
      <c r="F153" s="3" t="s">
        <v>170</v>
      </c>
      <c r="G153" s="4" t="s">
        <v>500</v>
      </c>
      <c r="H153" s="7"/>
      <c r="I153" s="4" t="s">
        <v>89</v>
      </c>
      <c r="J153" s="4" t="s">
        <v>786</v>
      </c>
      <c r="K153" s="6"/>
      <c r="L153" s="6"/>
      <c r="M153" s="6"/>
      <c r="N153" s="6"/>
      <c r="P153" s="4" t="s">
        <v>786</v>
      </c>
    </row>
    <row r="154" spans="1:16" x14ac:dyDescent="0.25">
      <c r="A154" s="3" t="str">
        <f t="shared" si="2"/>
        <v>MAGEL47</v>
      </c>
      <c r="B154" s="3" t="s">
        <v>321</v>
      </c>
      <c r="C154" s="3" t="s">
        <v>147</v>
      </c>
      <c r="D154" s="3" t="s">
        <v>103</v>
      </c>
      <c r="E154" s="3" t="s">
        <v>99</v>
      </c>
      <c r="F154" s="3" t="s">
        <v>170</v>
      </c>
      <c r="G154" s="4" t="s">
        <v>507</v>
      </c>
      <c r="H154" s="7">
        <v>3</v>
      </c>
      <c r="I154" s="4" t="s">
        <v>91</v>
      </c>
      <c r="J154" s="4" t="s">
        <v>808</v>
      </c>
      <c r="K154" s="6"/>
      <c r="L154" s="6"/>
      <c r="M154" s="6"/>
      <c r="N154" s="6"/>
      <c r="P154" s="4" t="s">
        <v>808</v>
      </c>
    </row>
    <row r="155" spans="1:16" x14ac:dyDescent="0.25">
      <c r="A155" s="3" t="str">
        <f t="shared" si="2"/>
        <v>MAIEL67</v>
      </c>
      <c r="B155" s="3" t="s">
        <v>326</v>
      </c>
      <c r="C155" s="3" t="s">
        <v>147</v>
      </c>
      <c r="D155" s="3" t="s">
        <v>105</v>
      </c>
      <c r="E155" s="3" t="s">
        <v>99</v>
      </c>
      <c r="F155" s="3" t="s">
        <v>170</v>
      </c>
      <c r="G155" s="4" t="s">
        <v>511</v>
      </c>
      <c r="H155" s="7"/>
      <c r="I155" s="4" t="s">
        <v>89</v>
      </c>
      <c r="J155" s="4" t="s">
        <v>784</v>
      </c>
      <c r="K155" s="6"/>
      <c r="L155" s="6"/>
      <c r="M155" s="6"/>
      <c r="N155" s="6"/>
      <c r="P155" s="4" t="s">
        <v>784</v>
      </c>
    </row>
    <row r="156" spans="1:16" x14ac:dyDescent="0.25">
      <c r="A156" s="3" t="str">
        <f t="shared" si="2"/>
        <v>BUSTO41</v>
      </c>
      <c r="B156" s="3" t="s">
        <v>190</v>
      </c>
      <c r="C156" s="3" t="s">
        <v>147</v>
      </c>
      <c r="D156" s="3" t="s">
        <v>103</v>
      </c>
      <c r="E156" s="3" t="s">
        <v>99</v>
      </c>
      <c r="F156" s="3" t="s">
        <v>191</v>
      </c>
      <c r="G156" s="4" t="s">
        <v>130</v>
      </c>
      <c r="H156" s="7">
        <v>1</v>
      </c>
      <c r="I156" s="4" t="s">
        <v>89</v>
      </c>
      <c r="J156" s="4" t="s">
        <v>811</v>
      </c>
      <c r="K156" s="6"/>
      <c r="L156" s="6"/>
      <c r="M156" s="6"/>
      <c r="N156" s="6"/>
      <c r="P156" s="4" t="s">
        <v>811</v>
      </c>
    </row>
    <row r="157" spans="1:16" x14ac:dyDescent="0.25">
      <c r="A157" s="3" t="str">
        <f t="shared" si="2"/>
        <v>COICA61</v>
      </c>
      <c r="B157" s="3" t="s">
        <v>213</v>
      </c>
      <c r="C157" s="3" t="s">
        <v>147</v>
      </c>
      <c r="D157" s="3" t="s">
        <v>150</v>
      </c>
      <c r="E157" s="3" t="s">
        <v>99</v>
      </c>
      <c r="F157" s="3" t="s">
        <v>191</v>
      </c>
      <c r="G157" s="4" t="s">
        <v>139</v>
      </c>
      <c r="H157" s="7"/>
      <c r="I157" s="4" t="s">
        <v>89</v>
      </c>
      <c r="J157" s="4" t="s">
        <v>793</v>
      </c>
      <c r="K157" s="6"/>
      <c r="L157" s="6"/>
      <c r="M157" s="6"/>
      <c r="N157" s="6"/>
      <c r="P157" s="4" t="s">
        <v>793</v>
      </c>
    </row>
    <row r="158" spans="1:16" x14ac:dyDescent="0.25">
      <c r="A158" s="3" t="str">
        <f t="shared" si="2"/>
        <v>ESVAN101</v>
      </c>
      <c r="B158" s="3" t="s">
        <v>711</v>
      </c>
      <c r="C158" s="3" t="s">
        <v>147</v>
      </c>
      <c r="D158" s="3" t="s">
        <v>105</v>
      </c>
      <c r="E158" s="3" t="s">
        <v>99</v>
      </c>
      <c r="F158" s="3" t="s">
        <v>191</v>
      </c>
      <c r="G158" s="4" t="s">
        <v>436</v>
      </c>
      <c r="H158" s="7">
        <v>1</v>
      </c>
      <c r="I158" s="4" t="s">
        <v>92</v>
      </c>
      <c r="J158" s="4" t="s">
        <v>794</v>
      </c>
      <c r="K158" s="6"/>
      <c r="L158" s="6"/>
      <c r="M158" s="6"/>
      <c r="N158" s="6"/>
      <c r="P158" s="4" t="s">
        <v>794</v>
      </c>
    </row>
    <row r="159" spans="1:16" x14ac:dyDescent="0.25">
      <c r="A159" s="3" t="str">
        <f t="shared" si="2"/>
        <v>ESVER101</v>
      </c>
      <c r="B159" s="3" t="s">
        <v>241</v>
      </c>
      <c r="C159" s="3" t="s">
        <v>147</v>
      </c>
      <c r="D159" s="3" t="s">
        <v>105</v>
      </c>
      <c r="E159" s="3" t="s">
        <v>99</v>
      </c>
      <c r="F159" s="3" t="s">
        <v>191</v>
      </c>
      <c r="G159" s="4" t="s">
        <v>437</v>
      </c>
      <c r="H159" s="7">
        <v>1</v>
      </c>
      <c r="I159" s="4" t="s">
        <v>91</v>
      </c>
      <c r="J159" s="4" t="s">
        <v>794</v>
      </c>
      <c r="K159" s="6"/>
      <c r="L159" s="6"/>
      <c r="M159" s="6"/>
      <c r="N159" s="6"/>
      <c r="P159" s="4" t="s">
        <v>794</v>
      </c>
    </row>
    <row r="160" spans="1:16" x14ac:dyDescent="0.25">
      <c r="A160" s="3" t="str">
        <f t="shared" si="2"/>
        <v>GOTOR22</v>
      </c>
      <c r="B160" s="3" t="s">
        <v>257</v>
      </c>
      <c r="C160" s="3" t="s">
        <v>147</v>
      </c>
      <c r="D160" s="3" t="s">
        <v>105</v>
      </c>
      <c r="E160" s="3" t="s">
        <v>99</v>
      </c>
      <c r="F160" s="3" t="s">
        <v>191</v>
      </c>
      <c r="G160" s="4" t="s">
        <v>445</v>
      </c>
      <c r="H160" s="7">
        <v>1</v>
      </c>
      <c r="I160" s="4" t="s">
        <v>89</v>
      </c>
      <c r="J160" s="4" t="s">
        <v>794</v>
      </c>
      <c r="K160" s="6"/>
      <c r="L160" s="6"/>
      <c r="M160" s="6"/>
      <c r="N160" s="6"/>
      <c r="P160" s="4" t="s">
        <v>794</v>
      </c>
    </row>
    <row r="161" spans="1:16" x14ac:dyDescent="0.25">
      <c r="A161" s="3" t="str">
        <f t="shared" si="2"/>
        <v>HUTOR64</v>
      </c>
      <c r="B161" s="3" t="s">
        <v>719</v>
      </c>
      <c r="C161" s="3" t="s">
        <v>147</v>
      </c>
      <c r="D161" s="3" t="s">
        <v>103</v>
      </c>
      <c r="E161" s="3" t="s">
        <v>99</v>
      </c>
      <c r="F161" s="3" t="s">
        <v>191</v>
      </c>
      <c r="G161" s="4" t="s">
        <v>467</v>
      </c>
      <c r="H161" s="7"/>
      <c r="I161" s="4" t="s">
        <v>89</v>
      </c>
      <c r="J161" s="4" t="s">
        <v>811</v>
      </c>
      <c r="K161" s="6"/>
      <c r="L161" s="6"/>
      <c r="M161" s="6"/>
      <c r="N161" s="6"/>
      <c r="P161" s="4" t="s">
        <v>811</v>
      </c>
    </row>
    <row r="162" spans="1:16" x14ac:dyDescent="0.25">
      <c r="A162" s="3" t="str">
        <f t="shared" si="2"/>
        <v>QUOSE313</v>
      </c>
      <c r="B162" s="3" t="s">
        <v>770</v>
      </c>
      <c r="C162" s="3" t="s">
        <v>147</v>
      </c>
      <c r="D162" s="3" t="s">
        <v>105</v>
      </c>
      <c r="E162" s="3" t="s">
        <v>99</v>
      </c>
      <c r="F162" s="3" t="s">
        <v>191</v>
      </c>
      <c r="G162" s="4" t="s">
        <v>582</v>
      </c>
      <c r="H162" s="7">
        <v>3</v>
      </c>
      <c r="I162" s="4" t="s">
        <v>89</v>
      </c>
      <c r="J162" s="4" t="s">
        <v>794</v>
      </c>
      <c r="K162" s="6"/>
      <c r="L162" s="6"/>
      <c r="M162" s="6"/>
      <c r="N162" s="6"/>
      <c r="P162" s="4" t="s">
        <v>794</v>
      </c>
    </row>
    <row r="163" spans="1:16" x14ac:dyDescent="0.25">
      <c r="A163" s="3" t="str">
        <f t="shared" si="2"/>
        <v>RONDO1015</v>
      </c>
      <c r="B163" s="3" t="s">
        <v>401</v>
      </c>
      <c r="C163" s="3" t="s">
        <v>147</v>
      </c>
      <c r="D163" s="3" t="s">
        <v>150</v>
      </c>
      <c r="E163" s="3" t="s">
        <v>99</v>
      </c>
      <c r="F163" s="3" t="s">
        <v>191</v>
      </c>
      <c r="G163" s="4" t="s">
        <v>621</v>
      </c>
      <c r="H163" s="7"/>
      <c r="I163" s="4" t="s">
        <v>89</v>
      </c>
      <c r="J163" s="4" t="s">
        <v>794</v>
      </c>
      <c r="K163" s="6"/>
      <c r="L163" s="6"/>
      <c r="M163" s="6"/>
      <c r="N163" s="6"/>
      <c r="P163" s="4" t="s">
        <v>794</v>
      </c>
    </row>
    <row r="164" spans="1:16" x14ac:dyDescent="0.25">
      <c r="A164" s="3" t="str">
        <f t="shared" si="2"/>
        <v>ROUEL616</v>
      </c>
      <c r="B164" s="3" t="s">
        <v>404</v>
      </c>
      <c r="C164" s="3" t="s">
        <v>147</v>
      </c>
      <c r="D164" s="3" t="s">
        <v>105</v>
      </c>
      <c r="E164" s="3" t="s">
        <v>99</v>
      </c>
      <c r="F164" s="3" t="s">
        <v>191</v>
      </c>
      <c r="G164" s="4" t="s">
        <v>625</v>
      </c>
      <c r="H164" s="7">
        <v>1</v>
      </c>
      <c r="I164" s="4" t="s">
        <v>90</v>
      </c>
      <c r="J164" s="4" t="s">
        <v>794</v>
      </c>
      <c r="K164" s="6"/>
      <c r="L164" s="6"/>
      <c r="M164" s="6"/>
      <c r="N164" s="6"/>
      <c r="P164" s="4" t="s">
        <v>794</v>
      </c>
    </row>
    <row r="165" spans="1:16" x14ac:dyDescent="0.25">
      <c r="A165" s="3" t="str">
        <f t="shared" si="2"/>
        <v>ROSAR816</v>
      </c>
      <c r="B165" s="3" t="s">
        <v>406</v>
      </c>
      <c r="C165" s="3" t="s">
        <v>147</v>
      </c>
      <c r="D165" s="3" t="s">
        <v>105</v>
      </c>
      <c r="E165" s="3" t="s">
        <v>99</v>
      </c>
      <c r="F165" s="3" t="s">
        <v>191</v>
      </c>
      <c r="G165" s="4" t="s">
        <v>627</v>
      </c>
      <c r="H165" s="7">
        <v>2</v>
      </c>
      <c r="I165" s="4" t="s">
        <v>91</v>
      </c>
      <c r="J165" s="4" t="s">
        <v>794</v>
      </c>
      <c r="K165" s="6"/>
      <c r="L165" s="6"/>
      <c r="M165" s="6"/>
      <c r="N165" s="6"/>
      <c r="P165" s="4" t="s">
        <v>794</v>
      </c>
    </row>
    <row r="166" spans="1:16" x14ac:dyDescent="0.25">
      <c r="A166" s="3" t="str">
        <f t="shared" si="2"/>
        <v>ARVIS21</v>
      </c>
      <c r="B166" s="3" t="s">
        <v>680</v>
      </c>
      <c r="C166" s="3" t="s">
        <v>147</v>
      </c>
      <c r="D166" s="3" t="s">
        <v>103</v>
      </c>
      <c r="E166" s="3" t="s">
        <v>99</v>
      </c>
      <c r="F166" s="3" t="s">
        <v>165</v>
      </c>
      <c r="G166" s="4" t="s">
        <v>116</v>
      </c>
      <c r="H166" s="7">
        <v>4</v>
      </c>
      <c r="I166" s="4" t="s">
        <v>91</v>
      </c>
      <c r="J166" s="4" t="s">
        <v>790</v>
      </c>
      <c r="K166" s="6"/>
      <c r="L166" s="6"/>
      <c r="M166" s="6"/>
      <c r="N166" s="6"/>
      <c r="P166" s="4" t="s">
        <v>790</v>
      </c>
    </row>
    <row r="167" spans="1:16" x14ac:dyDescent="0.25">
      <c r="A167" s="3" t="str">
        <f t="shared" si="2"/>
        <v>CASUS41</v>
      </c>
      <c r="B167" s="3" t="s">
        <v>195</v>
      </c>
      <c r="C167" s="3" t="s">
        <v>147</v>
      </c>
      <c r="D167" s="3" t="s">
        <v>103</v>
      </c>
      <c r="E167" s="3" t="s">
        <v>99</v>
      </c>
      <c r="F167" s="3" t="s">
        <v>165</v>
      </c>
      <c r="G167" s="4" t="s">
        <v>130</v>
      </c>
      <c r="H167" s="7"/>
      <c r="I167" s="4" t="s">
        <v>89</v>
      </c>
      <c r="J167" s="4" t="s">
        <v>790</v>
      </c>
      <c r="K167" s="6"/>
      <c r="L167" s="6"/>
      <c r="M167" s="6"/>
      <c r="N167" s="6"/>
      <c r="P167" s="4" t="s">
        <v>790</v>
      </c>
    </row>
    <row r="168" spans="1:16" x14ac:dyDescent="0.25">
      <c r="A168" s="3" t="str">
        <f t="shared" si="2"/>
        <v>CAVID41</v>
      </c>
      <c r="B168" s="3" t="s">
        <v>693</v>
      </c>
      <c r="C168" s="3" t="s">
        <v>147</v>
      </c>
      <c r="D168" s="3" t="s">
        <v>105</v>
      </c>
      <c r="E168" s="3" t="s">
        <v>99</v>
      </c>
      <c r="F168" s="3" t="s">
        <v>165</v>
      </c>
      <c r="G168" s="4" t="s">
        <v>130</v>
      </c>
      <c r="H168" s="7"/>
      <c r="I168" s="4" t="s">
        <v>89</v>
      </c>
      <c r="J168" s="4" t="s">
        <v>792</v>
      </c>
      <c r="K168" s="6"/>
      <c r="L168" s="6"/>
      <c r="M168" s="6"/>
      <c r="N168" s="6"/>
      <c r="P168" s="4" t="s">
        <v>792</v>
      </c>
    </row>
    <row r="169" spans="1:16" x14ac:dyDescent="0.25">
      <c r="A169" s="3" t="str">
        <f t="shared" si="2"/>
        <v>COSAR51</v>
      </c>
      <c r="B169" s="3" t="s">
        <v>208</v>
      </c>
      <c r="C169" s="3" t="s">
        <v>147</v>
      </c>
      <c r="D169" s="3" t="s">
        <v>150</v>
      </c>
      <c r="E169" s="3" t="s">
        <v>99</v>
      </c>
      <c r="F169" s="3" t="s">
        <v>165</v>
      </c>
      <c r="G169" s="4" t="s">
        <v>135</v>
      </c>
      <c r="H169" s="7"/>
      <c r="I169" s="4" t="s">
        <v>92</v>
      </c>
      <c r="J169" s="4" t="s">
        <v>812</v>
      </c>
      <c r="K169" s="6"/>
      <c r="L169" s="6"/>
      <c r="M169" s="6"/>
      <c r="N169" s="6"/>
      <c r="P169" s="4" t="s">
        <v>812</v>
      </c>
    </row>
    <row r="170" spans="1:16" x14ac:dyDescent="0.25">
      <c r="A170" s="3" t="str">
        <f t="shared" si="2"/>
        <v>CRCIO71</v>
      </c>
      <c r="B170" s="3" t="s">
        <v>703</v>
      </c>
      <c r="C170" s="3" t="s">
        <v>147</v>
      </c>
      <c r="D170" s="3" t="s">
        <v>103</v>
      </c>
      <c r="E170" s="3" t="s">
        <v>99</v>
      </c>
      <c r="F170" s="3" t="s">
        <v>165</v>
      </c>
      <c r="G170" s="4" t="s">
        <v>144</v>
      </c>
      <c r="H170" s="7"/>
      <c r="I170" s="4" t="s">
        <v>89</v>
      </c>
      <c r="J170" s="4" t="s">
        <v>787</v>
      </c>
      <c r="K170" s="6"/>
      <c r="L170" s="6"/>
      <c r="M170" s="6"/>
      <c r="N170" s="6"/>
      <c r="P170" s="4" t="s">
        <v>787</v>
      </c>
    </row>
    <row r="171" spans="1:16" x14ac:dyDescent="0.25">
      <c r="A171" s="3" t="str">
        <f t="shared" si="2"/>
        <v>CRCIO71</v>
      </c>
      <c r="B171" s="3" t="s">
        <v>704</v>
      </c>
      <c r="C171" s="3" t="s">
        <v>147</v>
      </c>
      <c r="D171" s="3" t="s">
        <v>105</v>
      </c>
      <c r="E171" s="3" t="s">
        <v>99</v>
      </c>
      <c r="F171" s="3" t="s">
        <v>165</v>
      </c>
      <c r="G171" s="4" t="s">
        <v>144</v>
      </c>
      <c r="H171" s="7">
        <v>3</v>
      </c>
      <c r="I171" s="4" t="s">
        <v>89</v>
      </c>
      <c r="J171" s="4" t="s">
        <v>805</v>
      </c>
      <c r="K171" s="6"/>
      <c r="L171" s="6"/>
      <c r="M171" s="6"/>
      <c r="N171" s="6"/>
      <c r="P171" s="4" t="s">
        <v>805</v>
      </c>
    </row>
    <row r="172" spans="1:16" x14ac:dyDescent="0.25">
      <c r="A172" s="3" t="str">
        <f t="shared" si="2"/>
        <v>CRITU71</v>
      </c>
      <c r="B172" s="3" t="s">
        <v>221</v>
      </c>
      <c r="C172" s="3" t="s">
        <v>147</v>
      </c>
      <c r="D172" s="3" t="s">
        <v>150</v>
      </c>
      <c r="E172" s="3" t="s">
        <v>99</v>
      </c>
      <c r="F172" s="3" t="s">
        <v>165</v>
      </c>
      <c r="G172" s="4" t="s">
        <v>144</v>
      </c>
      <c r="H172" s="7"/>
      <c r="I172" s="4" t="s">
        <v>89</v>
      </c>
      <c r="J172" s="4" t="s">
        <v>805</v>
      </c>
      <c r="K172" s="6"/>
      <c r="L172" s="6"/>
      <c r="M172" s="6"/>
      <c r="N172" s="6"/>
      <c r="P172" s="4" t="s">
        <v>805</v>
      </c>
    </row>
    <row r="173" spans="1:16" x14ac:dyDescent="0.25">
      <c r="A173" s="3" t="str">
        <f t="shared" si="2"/>
        <v>FAUIS101</v>
      </c>
      <c r="B173" s="3" t="s">
        <v>245</v>
      </c>
      <c r="C173" s="3" t="s">
        <v>147</v>
      </c>
      <c r="D173" s="3" t="s">
        <v>105</v>
      </c>
      <c r="E173" s="3" t="s">
        <v>99</v>
      </c>
      <c r="F173" s="3" t="s">
        <v>165</v>
      </c>
      <c r="G173" s="4" t="s">
        <v>437</v>
      </c>
      <c r="H173" s="7"/>
      <c r="I173" s="4" t="s">
        <v>89</v>
      </c>
      <c r="J173" s="4" t="s">
        <v>812</v>
      </c>
      <c r="K173" s="6"/>
      <c r="L173" s="6"/>
      <c r="M173" s="6"/>
      <c r="N173" s="6"/>
      <c r="P173" s="4" t="s">
        <v>812</v>
      </c>
    </row>
    <row r="174" spans="1:16" x14ac:dyDescent="0.25">
      <c r="A174" s="3" t="str">
        <f t="shared" si="2"/>
        <v>GUINO63</v>
      </c>
      <c r="B174" s="3" t="s">
        <v>263</v>
      </c>
      <c r="C174" s="3" t="s">
        <v>147</v>
      </c>
      <c r="D174" s="3" t="s">
        <v>150</v>
      </c>
      <c r="E174" s="3" t="s">
        <v>99</v>
      </c>
      <c r="F174" s="3" t="s">
        <v>165</v>
      </c>
      <c r="G174" s="4" t="s">
        <v>455</v>
      </c>
      <c r="H174" s="7">
        <v>2</v>
      </c>
      <c r="I174" s="4" t="s">
        <v>89</v>
      </c>
      <c r="J174" s="4" t="s">
        <v>787</v>
      </c>
      <c r="K174" s="6"/>
      <c r="L174" s="6"/>
      <c r="M174" s="6"/>
      <c r="N174" s="6"/>
      <c r="P174" s="4" t="s">
        <v>787</v>
      </c>
    </row>
    <row r="175" spans="1:16" x14ac:dyDescent="0.25">
      <c r="A175" s="3" t="str">
        <f t="shared" si="2"/>
        <v>HILEX24</v>
      </c>
      <c r="B175" s="3" t="s">
        <v>270</v>
      </c>
      <c r="C175" s="3" t="s">
        <v>147</v>
      </c>
      <c r="D175" s="3" t="s">
        <v>104</v>
      </c>
      <c r="E175" s="3" t="s">
        <v>99</v>
      </c>
      <c r="F175" s="3" t="s">
        <v>165</v>
      </c>
      <c r="G175" s="4" t="s">
        <v>463</v>
      </c>
      <c r="H175" s="7">
        <v>2</v>
      </c>
      <c r="I175" s="4" t="s">
        <v>91</v>
      </c>
      <c r="J175" s="4" t="s">
        <v>787</v>
      </c>
      <c r="K175" s="6"/>
      <c r="L175" s="6"/>
      <c r="M175" s="6"/>
      <c r="N175" s="6"/>
      <c r="P175" s="4" t="s">
        <v>787</v>
      </c>
    </row>
    <row r="176" spans="1:16" x14ac:dyDescent="0.25">
      <c r="A176" s="3" t="str">
        <f t="shared" si="2"/>
        <v>HUOEL115</v>
      </c>
      <c r="B176" s="3" t="s">
        <v>294</v>
      </c>
      <c r="C176" s="3" t="s">
        <v>147</v>
      </c>
      <c r="D176" s="3" t="s">
        <v>103</v>
      </c>
      <c r="E176" s="3" t="s">
        <v>99</v>
      </c>
      <c r="F176" s="3" t="s">
        <v>165</v>
      </c>
      <c r="G176" s="4" t="s">
        <v>486</v>
      </c>
      <c r="H176" s="7">
        <v>3</v>
      </c>
      <c r="I176" s="4" t="s">
        <v>89</v>
      </c>
      <c r="J176" s="4" t="s">
        <v>790</v>
      </c>
      <c r="K176" s="6"/>
      <c r="L176" s="6"/>
      <c r="M176" s="6"/>
      <c r="N176" s="6"/>
      <c r="P176" s="4" t="s">
        <v>790</v>
      </c>
    </row>
    <row r="177" spans="1:16" x14ac:dyDescent="0.25">
      <c r="A177" s="3" t="str">
        <f t="shared" si="2"/>
        <v>JAAEL46</v>
      </c>
      <c r="B177" s="3" t="s">
        <v>300</v>
      </c>
      <c r="C177" s="3" t="s">
        <v>147</v>
      </c>
      <c r="D177" s="3" t="s">
        <v>105</v>
      </c>
      <c r="E177" s="3" t="s">
        <v>99</v>
      </c>
      <c r="F177" s="3" t="s">
        <v>165</v>
      </c>
      <c r="G177" s="4" t="s">
        <v>491</v>
      </c>
      <c r="H177" s="7">
        <v>2</v>
      </c>
      <c r="I177" s="4" t="s">
        <v>89</v>
      </c>
      <c r="J177" s="4" t="s">
        <v>812</v>
      </c>
      <c r="K177" s="6"/>
      <c r="L177" s="6"/>
      <c r="M177" s="6"/>
      <c r="N177" s="6"/>
      <c r="P177" s="4" t="s">
        <v>812</v>
      </c>
    </row>
    <row r="178" spans="1:16" x14ac:dyDescent="0.25">
      <c r="A178" s="3" t="str">
        <f t="shared" si="2"/>
        <v>JARCY56</v>
      </c>
      <c r="B178" s="3" t="s">
        <v>301</v>
      </c>
      <c r="C178" s="3" t="s">
        <v>147</v>
      </c>
      <c r="D178" s="3" t="s">
        <v>150</v>
      </c>
      <c r="E178" s="3" t="s">
        <v>99</v>
      </c>
      <c r="F178" s="3" t="s">
        <v>165</v>
      </c>
      <c r="G178" s="4" t="s">
        <v>492</v>
      </c>
      <c r="H178" s="7"/>
      <c r="I178" s="4" t="s">
        <v>90</v>
      </c>
      <c r="J178" s="4" t="s">
        <v>787</v>
      </c>
      <c r="K178" s="6"/>
      <c r="L178" s="6"/>
      <c r="M178" s="6"/>
      <c r="N178" s="6"/>
      <c r="P178" s="4" t="s">
        <v>787</v>
      </c>
    </row>
    <row r="179" spans="1:16" x14ac:dyDescent="0.25">
      <c r="A179" s="3" t="str">
        <f t="shared" si="2"/>
        <v>JAGER56</v>
      </c>
      <c r="B179" s="3" t="s">
        <v>302</v>
      </c>
      <c r="C179" s="3" t="s">
        <v>147</v>
      </c>
      <c r="D179" s="3" t="s">
        <v>103</v>
      </c>
      <c r="E179" s="3" t="s">
        <v>99</v>
      </c>
      <c r="F179" s="3" t="s">
        <v>165</v>
      </c>
      <c r="G179" s="4" t="s">
        <v>494</v>
      </c>
      <c r="H179" s="7">
        <v>2</v>
      </c>
      <c r="I179" s="4" t="s">
        <v>90</v>
      </c>
      <c r="J179" s="4" t="s">
        <v>789</v>
      </c>
      <c r="K179" s="6"/>
      <c r="L179" s="6"/>
      <c r="M179" s="6"/>
      <c r="N179" s="6"/>
      <c r="P179" s="4" t="s">
        <v>789</v>
      </c>
    </row>
    <row r="180" spans="1:16" x14ac:dyDescent="0.25">
      <c r="A180" s="3" t="str">
        <f t="shared" si="2"/>
        <v>LAGEL106</v>
      </c>
      <c r="B180" s="3" t="s">
        <v>308</v>
      </c>
      <c r="C180" s="3" t="s">
        <v>147</v>
      </c>
      <c r="D180" s="3" t="s">
        <v>103</v>
      </c>
      <c r="E180" s="3" t="s">
        <v>99</v>
      </c>
      <c r="F180" s="3" t="s">
        <v>165</v>
      </c>
      <c r="G180" s="4" t="s">
        <v>498</v>
      </c>
      <c r="H180" s="7">
        <v>1</v>
      </c>
      <c r="I180" s="4" t="s">
        <v>90</v>
      </c>
      <c r="J180" s="4" t="s">
        <v>790</v>
      </c>
      <c r="K180" s="6"/>
      <c r="L180" s="6"/>
      <c r="M180" s="6"/>
      <c r="N180" s="6"/>
      <c r="P180" s="4" t="s">
        <v>790</v>
      </c>
    </row>
    <row r="181" spans="1:16" x14ac:dyDescent="0.25">
      <c r="A181" s="3" t="str">
        <f t="shared" si="2"/>
        <v>LAEDO76</v>
      </c>
      <c r="B181" s="3" t="s">
        <v>306</v>
      </c>
      <c r="C181" s="3" t="s">
        <v>147</v>
      </c>
      <c r="D181" s="3" t="s">
        <v>103</v>
      </c>
      <c r="E181" s="3" t="s">
        <v>99</v>
      </c>
      <c r="F181" s="3" t="s">
        <v>165</v>
      </c>
      <c r="G181" s="4" t="s">
        <v>496</v>
      </c>
      <c r="H181" s="7"/>
      <c r="I181" s="4" t="s">
        <v>89</v>
      </c>
      <c r="J181" s="4" t="s">
        <v>792</v>
      </c>
      <c r="K181" s="6"/>
      <c r="L181" s="6"/>
      <c r="M181" s="6"/>
      <c r="N181" s="6"/>
      <c r="P181" s="4" t="s">
        <v>792</v>
      </c>
    </row>
    <row r="182" spans="1:16" x14ac:dyDescent="0.25">
      <c r="A182" s="3" t="str">
        <f t="shared" si="2"/>
        <v>LINAL27</v>
      </c>
      <c r="B182" s="3" t="s">
        <v>733</v>
      </c>
      <c r="C182" s="3" t="s">
        <v>147</v>
      </c>
      <c r="D182" s="3" t="s">
        <v>105</v>
      </c>
      <c r="E182" s="3" t="s">
        <v>99</v>
      </c>
      <c r="F182" s="3" t="s">
        <v>165</v>
      </c>
      <c r="G182" s="4" t="s">
        <v>504</v>
      </c>
      <c r="H182" s="7">
        <v>4</v>
      </c>
      <c r="I182" s="4" t="s">
        <v>89</v>
      </c>
      <c r="J182" s="4" t="s">
        <v>787</v>
      </c>
      <c r="K182" s="6"/>
      <c r="L182" s="6"/>
      <c r="M182" s="6"/>
      <c r="N182" s="6"/>
      <c r="P182" s="4" t="s">
        <v>787</v>
      </c>
    </row>
    <row r="183" spans="1:16" x14ac:dyDescent="0.25">
      <c r="A183" s="3" t="str">
        <f t="shared" si="2"/>
        <v>MERES58</v>
      </c>
      <c r="B183" s="3" t="s">
        <v>336</v>
      </c>
      <c r="C183" s="3" t="s">
        <v>147</v>
      </c>
      <c r="D183" s="3" t="s">
        <v>103</v>
      </c>
      <c r="E183" s="3" t="s">
        <v>99</v>
      </c>
      <c r="F183" s="3" t="s">
        <v>165</v>
      </c>
      <c r="G183" s="4" t="s">
        <v>524</v>
      </c>
      <c r="H183" s="7">
        <v>1</v>
      </c>
      <c r="I183" s="4" t="s">
        <v>91</v>
      </c>
      <c r="J183" s="4" t="s">
        <v>790</v>
      </c>
      <c r="K183" s="6"/>
      <c r="L183" s="6"/>
      <c r="M183" s="6"/>
      <c r="N183" s="6"/>
      <c r="P183" s="4" t="s">
        <v>790</v>
      </c>
    </row>
    <row r="184" spans="1:16" x14ac:dyDescent="0.25">
      <c r="A184" s="3" t="str">
        <f t="shared" si="2"/>
        <v>MEERT68</v>
      </c>
      <c r="B184" s="3" t="s">
        <v>337</v>
      </c>
      <c r="C184" s="3" t="s">
        <v>147</v>
      </c>
      <c r="D184" s="3" t="s">
        <v>105</v>
      </c>
      <c r="E184" s="3" t="s">
        <v>99</v>
      </c>
      <c r="F184" s="3" t="s">
        <v>165</v>
      </c>
      <c r="G184" s="4" t="s">
        <v>525</v>
      </c>
      <c r="H184" s="7">
        <v>3</v>
      </c>
      <c r="I184" s="4" t="s">
        <v>89</v>
      </c>
      <c r="J184" s="4" t="s">
        <v>792</v>
      </c>
      <c r="K184" s="6"/>
      <c r="L184" s="6"/>
      <c r="M184" s="6"/>
      <c r="N184" s="6"/>
      <c r="P184" s="4" t="s">
        <v>792</v>
      </c>
    </row>
    <row r="185" spans="1:16" x14ac:dyDescent="0.25">
      <c r="A185" s="3" t="str">
        <f t="shared" si="2"/>
        <v>ÑABEN99</v>
      </c>
      <c r="B185" s="3" t="s">
        <v>749</v>
      </c>
      <c r="C185" s="3" t="s">
        <v>147</v>
      </c>
      <c r="D185" s="3" t="s">
        <v>104</v>
      </c>
      <c r="E185" s="3" t="s">
        <v>99</v>
      </c>
      <c r="F185" s="3" t="s">
        <v>165</v>
      </c>
      <c r="G185" s="4" t="s">
        <v>534</v>
      </c>
      <c r="H185" s="7">
        <v>1</v>
      </c>
      <c r="I185" s="4" t="s">
        <v>89</v>
      </c>
      <c r="J185" s="4" t="s">
        <v>787</v>
      </c>
      <c r="K185" s="6"/>
      <c r="L185" s="6"/>
      <c r="M185" s="6"/>
      <c r="N185" s="6"/>
      <c r="P185" s="4" t="s">
        <v>787</v>
      </c>
    </row>
    <row r="186" spans="1:16" x14ac:dyDescent="0.25">
      <c r="A186" s="3" t="str">
        <f t="shared" si="2"/>
        <v>ORAYO210</v>
      </c>
      <c r="B186" s="3" t="s">
        <v>753</v>
      </c>
      <c r="C186" s="3" t="s">
        <v>147</v>
      </c>
      <c r="D186" s="3" t="s">
        <v>103</v>
      </c>
      <c r="E186" s="3" t="s">
        <v>99</v>
      </c>
      <c r="F186" s="3" t="s">
        <v>165</v>
      </c>
      <c r="G186" s="4" t="s">
        <v>540</v>
      </c>
      <c r="H186" s="7"/>
      <c r="I186" s="4" t="s">
        <v>89</v>
      </c>
      <c r="J186" s="4" t="s">
        <v>790</v>
      </c>
      <c r="K186" s="6"/>
      <c r="L186" s="6"/>
      <c r="M186" s="6"/>
      <c r="N186" s="6"/>
      <c r="P186" s="4" t="s">
        <v>790</v>
      </c>
    </row>
    <row r="187" spans="1:16" x14ac:dyDescent="0.25">
      <c r="A187" s="3" t="str">
        <f t="shared" si="2"/>
        <v>ARRTO11</v>
      </c>
      <c r="B187" s="3" t="s">
        <v>78</v>
      </c>
      <c r="C187" s="3" t="s">
        <v>147</v>
      </c>
      <c r="D187" s="3" t="s">
        <v>103</v>
      </c>
      <c r="E187" s="3" t="s">
        <v>99</v>
      </c>
      <c r="F187" s="3" t="s">
        <v>161</v>
      </c>
      <c r="G187" s="4" t="s">
        <v>115</v>
      </c>
      <c r="H187" s="7"/>
      <c r="I187" s="4" t="s">
        <v>89</v>
      </c>
      <c r="J187" s="4" t="s">
        <v>788</v>
      </c>
      <c r="K187" s="6"/>
      <c r="L187" s="6"/>
      <c r="M187" s="6"/>
      <c r="N187" s="6"/>
      <c r="P187" s="4" t="s">
        <v>788</v>
      </c>
    </row>
    <row r="188" spans="1:16" x14ac:dyDescent="0.25">
      <c r="A188" s="3" t="str">
        <f t="shared" si="2"/>
        <v>ORORO210</v>
      </c>
      <c r="B188" s="3" t="s">
        <v>754</v>
      </c>
      <c r="C188" s="3" t="s">
        <v>147</v>
      </c>
      <c r="D188" s="3" t="s">
        <v>103</v>
      </c>
      <c r="E188" s="3" t="s">
        <v>99</v>
      </c>
      <c r="F188" s="3" t="s">
        <v>161</v>
      </c>
      <c r="G188" s="4" t="s">
        <v>540</v>
      </c>
      <c r="H188" s="7"/>
      <c r="I188" s="4" t="s">
        <v>90</v>
      </c>
      <c r="J188" s="4" t="s">
        <v>804</v>
      </c>
      <c r="K188" s="6"/>
      <c r="L188" s="6"/>
      <c r="M188" s="6"/>
      <c r="N188" s="6"/>
      <c r="P188" s="4" t="s">
        <v>804</v>
      </c>
    </row>
    <row r="189" spans="1:16" x14ac:dyDescent="0.25">
      <c r="A189" s="3" t="str">
        <f t="shared" si="2"/>
        <v>OSTIN610</v>
      </c>
      <c r="B189" s="3" t="s">
        <v>353</v>
      </c>
      <c r="C189" s="3" t="s">
        <v>147</v>
      </c>
      <c r="D189" s="3" t="s">
        <v>104</v>
      </c>
      <c r="E189" s="3" t="s">
        <v>99</v>
      </c>
      <c r="F189" s="3" t="s">
        <v>161</v>
      </c>
      <c r="G189" s="4" t="s">
        <v>546</v>
      </c>
      <c r="H189" s="7"/>
      <c r="I189" s="4" t="s">
        <v>90</v>
      </c>
      <c r="J189" s="4" t="s">
        <v>802</v>
      </c>
      <c r="K189" s="6"/>
      <c r="L189" s="6"/>
      <c r="M189" s="6"/>
      <c r="N189" s="6"/>
      <c r="P189" s="4" t="s">
        <v>802</v>
      </c>
    </row>
    <row r="190" spans="1:16" x14ac:dyDescent="0.25">
      <c r="A190" s="3" t="str">
        <f t="shared" si="2"/>
        <v>PALOS211</v>
      </c>
      <c r="B190" s="3" t="s">
        <v>757</v>
      </c>
      <c r="C190" s="3" t="s">
        <v>147</v>
      </c>
      <c r="D190" s="3" t="s">
        <v>103</v>
      </c>
      <c r="E190" s="3" t="s">
        <v>99</v>
      </c>
      <c r="F190" s="3" t="s">
        <v>161</v>
      </c>
      <c r="G190" s="4" t="s">
        <v>556</v>
      </c>
      <c r="H190" s="7">
        <v>1</v>
      </c>
      <c r="I190" s="4" t="s">
        <v>89</v>
      </c>
      <c r="J190" s="4" t="s">
        <v>788</v>
      </c>
      <c r="K190" s="6"/>
      <c r="L190" s="6"/>
      <c r="M190" s="6"/>
      <c r="N190" s="6"/>
      <c r="P190" s="4" t="s">
        <v>788</v>
      </c>
    </row>
    <row r="191" spans="1:16" x14ac:dyDescent="0.25">
      <c r="A191" s="3" t="str">
        <f t="shared" si="2"/>
        <v>PALOS611</v>
      </c>
      <c r="B191" s="3" t="s">
        <v>359</v>
      </c>
      <c r="C191" s="3" t="s">
        <v>147</v>
      </c>
      <c r="D191" s="3" t="s">
        <v>103</v>
      </c>
      <c r="E191" s="3" t="s">
        <v>99</v>
      </c>
      <c r="F191" s="3" t="s">
        <v>161</v>
      </c>
      <c r="G191" s="4" t="s">
        <v>560</v>
      </c>
      <c r="H191" s="7"/>
      <c r="I191" s="4" t="s">
        <v>89</v>
      </c>
      <c r="J191" s="4" t="s">
        <v>802</v>
      </c>
      <c r="K191" s="6"/>
      <c r="L191" s="6"/>
      <c r="M191" s="6"/>
      <c r="N191" s="6"/>
      <c r="P191" s="4" t="s">
        <v>802</v>
      </c>
    </row>
    <row r="192" spans="1:16" x14ac:dyDescent="0.25">
      <c r="A192" s="3" t="str">
        <f t="shared" si="2"/>
        <v>PABLO710</v>
      </c>
      <c r="B192" s="3" t="s">
        <v>761</v>
      </c>
      <c r="C192" s="3" t="s">
        <v>147</v>
      </c>
      <c r="D192" s="3" t="s">
        <v>105</v>
      </c>
      <c r="E192" s="3" t="s">
        <v>99</v>
      </c>
      <c r="F192" s="3" t="s">
        <v>161</v>
      </c>
      <c r="G192" s="4" t="s">
        <v>548</v>
      </c>
      <c r="H192" s="7">
        <v>1</v>
      </c>
      <c r="I192" s="4" t="s">
        <v>90</v>
      </c>
      <c r="J192" s="4" t="s">
        <v>788</v>
      </c>
      <c r="K192" s="6"/>
      <c r="L192" s="6"/>
      <c r="M192" s="6"/>
      <c r="N192" s="6"/>
      <c r="P192" s="4" t="s">
        <v>788</v>
      </c>
    </row>
    <row r="193" spans="1:16" x14ac:dyDescent="0.25">
      <c r="A193" s="3" t="str">
        <f t="shared" si="2"/>
        <v>PEUAN811</v>
      </c>
      <c r="B193" s="3" t="s">
        <v>765</v>
      </c>
      <c r="C193" s="3" t="s">
        <v>147</v>
      </c>
      <c r="D193" s="3" t="s">
        <v>103</v>
      </c>
      <c r="E193" s="3" t="s">
        <v>99</v>
      </c>
      <c r="F193" s="3" t="s">
        <v>161</v>
      </c>
      <c r="G193" s="4" t="s">
        <v>565</v>
      </c>
      <c r="H193" s="7"/>
      <c r="I193" s="4" t="s">
        <v>89</v>
      </c>
      <c r="J193" s="4" t="s">
        <v>804</v>
      </c>
      <c r="K193" s="6"/>
      <c r="L193" s="6"/>
      <c r="M193" s="6"/>
      <c r="N193" s="6"/>
      <c r="P193" s="4" t="s">
        <v>804</v>
      </c>
    </row>
    <row r="194" spans="1:16" x14ac:dyDescent="0.25">
      <c r="A194" s="3" t="str">
        <f t="shared" ref="A194:A257" si="3">+CONCATENATE(LEFT(B194,2),RIGHT(B194,3),MONTH(G194),DAY(G194))</f>
        <v>POORO812</v>
      </c>
      <c r="B194" s="3" t="s">
        <v>369</v>
      </c>
      <c r="C194" s="3" t="s">
        <v>147</v>
      </c>
      <c r="D194" s="3" t="s">
        <v>103</v>
      </c>
      <c r="E194" s="3" t="s">
        <v>99</v>
      </c>
      <c r="F194" s="3" t="s">
        <v>161</v>
      </c>
      <c r="G194" s="4" t="s">
        <v>573</v>
      </c>
      <c r="H194" s="7"/>
      <c r="I194" s="4" t="s">
        <v>89</v>
      </c>
      <c r="J194" s="4" t="s">
        <v>804</v>
      </c>
      <c r="K194" s="6"/>
      <c r="L194" s="6"/>
      <c r="M194" s="6"/>
      <c r="N194" s="6"/>
      <c r="P194" s="4" t="s">
        <v>804</v>
      </c>
    </row>
    <row r="195" spans="1:16" x14ac:dyDescent="0.25">
      <c r="A195" s="3" t="str">
        <f t="shared" si="3"/>
        <v>QUVID413</v>
      </c>
      <c r="B195" s="3" t="s">
        <v>376</v>
      </c>
      <c r="C195" s="3" t="s">
        <v>147</v>
      </c>
      <c r="D195" s="3" t="s">
        <v>105</v>
      </c>
      <c r="E195" s="3" t="s">
        <v>99</v>
      </c>
      <c r="F195" s="3" t="s">
        <v>161</v>
      </c>
      <c r="G195" s="4" t="s">
        <v>584</v>
      </c>
      <c r="H195" s="7"/>
      <c r="I195" s="4" t="s">
        <v>89</v>
      </c>
      <c r="J195" s="4" t="s">
        <v>802</v>
      </c>
      <c r="K195" s="6"/>
      <c r="L195" s="6"/>
      <c r="M195" s="6"/>
      <c r="N195" s="6"/>
      <c r="P195" s="4" t="s">
        <v>802</v>
      </c>
    </row>
    <row r="196" spans="1:16" x14ac:dyDescent="0.25">
      <c r="A196" s="3" t="str">
        <f t="shared" si="3"/>
        <v>RAVID314</v>
      </c>
      <c r="B196" s="3" t="s">
        <v>384</v>
      </c>
      <c r="C196" s="3" t="s">
        <v>147</v>
      </c>
      <c r="D196" s="3" t="s">
        <v>103</v>
      </c>
      <c r="E196" s="3" t="s">
        <v>99</v>
      </c>
      <c r="F196" s="3" t="s">
        <v>161</v>
      </c>
      <c r="G196" s="4" t="s">
        <v>595</v>
      </c>
      <c r="H196" s="7">
        <v>2</v>
      </c>
      <c r="I196" s="4" t="s">
        <v>92</v>
      </c>
      <c r="J196" s="4" t="s">
        <v>802</v>
      </c>
      <c r="K196" s="6"/>
      <c r="L196" s="6"/>
      <c r="M196" s="6"/>
      <c r="N196" s="6"/>
      <c r="P196" s="4" t="s">
        <v>802</v>
      </c>
    </row>
    <row r="197" spans="1:16" x14ac:dyDescent="0.25">
      <c r="A197" s="3" t="str">
        <f t="shared" si="3"/>
        <v>RATER414</v>
      </c>
      <c r="B197" s="3" t="s">
        <v>385</v>
      </c>
      <c r="C197" s="3" t="s">
        <v>147</v>
      </c>
      <c r="D197" s="3" t="s">
        <v>105</v>
      </c>
      <c r="E197" s="3" t="s">
        <v>99</v>
      </c>
      <c r="F197" s="3" t="s">
        <v>161</v>
      </c>
      <c r="G197" s="4" t="s">
        <v>596</v>
      </c>
      <c r="H197" s="7"/>
      <c r="I197" s="4" t="s">
        <v>92</v>
      </c>
      <c r="J197" s="4" t="s">
        <v>804</v>
      </c>
      <c r="K197" s="6"/>
      <c r="L197" s="6"/>
      <c r="M197" s="6"/>
      <c r="N197" s="6"/>
      <c r="P197" s="4" t="s">
        <v>804</v>
      </c>
    </row>
    <row r="198" spans="1:16" x14ac:dyDescent="0.25">
      <c r="A198" s="3" t="str">
        <f t="shared" si="3"/>
        <v>RINDO1114</v>
      </c>
      <c r="B198" s="3" t="s">
        <v>773</v>
      </c>
      <c r="C198" s="3" t="s">
        <v>147</v>
      </c>
      <c r="D198" s="3" t="s">
        <v>105</v>
      </c>
      <c r="E198" s="3" t="s">
        <v>99</v>
      </c>
      <c r="F198" s="3" t="s">
        <v>161</v>
      </c>
      <c r="G198" s="4" t="s">
        <v>603</v>
      </c>
      <c r="H198" s="7"/>
      <c r="I198" s="4" t="s">
        <v>90</v>
      </c>
      <c r="J198" s="4" t="s">
        <v>788</v>
      </c>
      <c r="K198" s="6"/>
      <c r="L198" s="6"/>
      <c r="M198" s="6"/>
      <c r="N198" s="6"/>
      <c r="P198" s="4" t="s">
        <v>788</v>
      </c>
    </row>
    <row r="199" spans="1:16" x14ac:dyDescent="0.25">
      <c r="A199" s="3" t="str">
        <f t="shared" si="3"/>
        <v>ROLOS1216</v>
      </c>
      <c r="B199" s="3" t="s">
        <v>411</v>
      </c>
      <c r="C199" s="3" t="s">
        <v>147</v>
      </c>
      <c r="D199" s="3" t="s">
        <v>105</v>
      </c>
      <c r="E199" s="3" t="s">
        <v>99</v>
      </c>
      <c r="F199" s="3" t="s">
        <v>161</v>
      </c>
      <c r="G199" s="4" t="s">
        <v>631</v>
      </c>
      <c r="H199" s="7"/>
      <c r="I199" s="4" t="s">
        <v>90</v>
      </c>
      <c r="J199" s="4" t="s">
        <v>788</v>
      </c>
      <c r="K199" s="6"/>
      <c r="L199" s="6"/>
      <c r="M199" s="6"/>
      <c r="N199" s="6"/>
      <c r="P199" s="4" t="s">
        <v>788</v>
      </c>
    </row>
    <row r="200" spans="1:16" x14ac:dyDescent="0.25">
      <c r="A200" s="3" t="str">
        <f t="shared" si="3"/>
        <v>ROLIO315</v>
      </c>
      <c r="B200" s="3" t="s">
        <v>779</v>
      </c>
      <c r="C200" s="3" t="s">
        <v>147</v>
      </c>
      <c r="D200" s="3" t="s">
        <v>150</v>
      </c>
      <c r="E200" s="3" t="s">
        <v>99</v>
      </c>
      <c r="F200" s="3" t="s">
        <v>161</v>
      </c>
      <c r="G200" s="4" t="s">
        <v>611</v>
      </c>
      <c r="H200" s="7">
        <v>2</v>
      </c>
      <c r="I200" s="4" t="s">
        <v>89</v>
      </c>
      <c r="J200" s="4" t="s">
        <v>788</v>
      </c>
      <c r="K200" s="6"/>
      <c r="L200" s="6"/>
      <c r="M200" s="6"/>
      <c r="N200" s="6"/>
      <c r="P200" s="4" t="s">
        <v>788</v>
      </c>
    </row>
    <row r="201" spans="1:16" x14ac:dyDescent="0.25">
      <c r="A201" s="3" t="str">
        <f t="shared" si="3"/>
        <v>ROUAN415</v>
      </c>
      <c r="B201" s="3" t="s">
        <v>395</v>
      </c>
      <c r="C201" s="3" t="s">
        <v>147</v>
      </c>
      <c r="D201" s="3" t="s">
        <v>103</v>
      </c>
      <c r="E201" s="3" t="s">
        <v>99</v>
      </c>
      <c r="F201" s="3" t="s">
        <v>161</v>
      </c>
      <c r="G201" s="4" t="s">
        <v>613</v>
      </c>
      <c r="H201" s="7"/>
      <c r="I201" s="4" t="s">
        <v>90</v>
      </c>
      <c r="J201" s="4" t="s">
        <v>804</v>
      </c>
      <c r="K201" s="6"/>
      <c r="L201" s="6"/>
      <c r="M201" s="6"/>
      <c r="N201" s="6"/>
      <c r="P201" s="4" t="s">
        <v>804</v>
      </c>
    </row>
    <row r="202" spans="1:16" x14ac:dyDescent="0.25">
      <c r="A202" s="3" t="str">
        <f t="shared" si="3"/>
        <v>SAGIO517</v>
      </c>
      <c r="B202" s="3" t="s">
        <v>417</v>
      </c>
      <c r="C202" s="3" t="s">
        <v>147</v>
      </c>
      <c r="D202" s="3" t="s">
        <v>103</v>
      </c>
      <c r="E202" s="3" t="s">
        <v>99</v>
      </c>
      <c r="F202" s="3" t="s">
        <v>161</v>
      </c>
      <c r="G202" s="4" t="s">
        <v>637</v>
      </c>
      <c r="H202" s="7">
        <v>1</v>
      </c>
      <c r="I202" s="4" t="s">
        <v>90</v>
      </c>
      <c r="J202" s="4" t="s">
        <v>802</v>
      </c>
      <c r="K202" s="6"/>
      <c r="L202" s="6"/>
      <c r="M202" s="6"/>
      <c r="N202" s="6"/>
      <c r="P202" s="4" t="s">
        <v>802</v>
      </c>
    </row>
    <row r="203" spans="1:16" x14ac:dyDescent="0.25">
      <c r="A203" s="3" t="str">
        <f t="shared" si="3"/>
        <v>SABYT617</v>
      </c>
      <c r="B203" s="3" t="s">
        <v>419</v>
      </c>
      <c r="C203" s="3" t="s">
        <v>147</v>
      </c>
      <c r="D203" s="3" t="s">
        <v>105</v>
      </c>
      <c r="E203" s="3" t="s">
        <v>99</v>
      </c>
      <c r="F203" s="3" t="s">
        <v>161</v>
      </c>
      <c r="G203" s="4" t="s">
        <v>639</v>
      </c>
      <c r="H203" s="7">
        <v>3</v>
      </c>
      <c r="I203" s="4" t="s">
        <v>92</v>
      </c>
      <c r="J203" s="4" t="s">
        <v>802</v>
      </c>
      <c r="K203" s="6"/>
      <c r="L203" s="6"/>
      <c r="M203" s="6"/>
      <c r="N203" s="6"/>
      <c r="P203" s="4" t="s">
        <v>802</v>
      </c>
    </row>
    <row r="204" spans="1:16" x14ac:dyDescent="0.25">
      <c r="A204" s="3" t="str">
        <f t="shared" si="3"/>
        <v>BOEDY41</v>
      </c>
      <c r="B204" s="3" t="s">
        <v>686</v>
      </c>
      <c r="C204" s="3" t="s">
        <v>147</v>
      </c>
      <c r="D204" s="3" t="s">
        <v>103</v>
      </c>
      <c r="E204" s="3" t="s">
        <v>99</v>
      </c>
      <c r="F204" s="3" t="s">
        <v>185</v>
      </c>
      <c r="G204" s="4" t="s">
        <v>130</v>
      </c>
      <c r="H204" s="7">
        <v>1</v>
      </c>
      <c r="I204" s="4" t="s">
        <v>91</v>
      </c>
      <c r="J204" s="4" t="s">
        <v>793</v>
      </c>
      <c r="K204" s="6"/>
      <c r="L204" s="6"/>
      <c r="M204" s="6"/>
      <c r="N204" s="6"/>
      <c r="P204" s="4" t="s">
        <v>793</v>
      </c>
    </row>
    <row r="205" spans="1:16" x14ac:dyDescent="0.25">
      <c r="A205" s="3" t="str">
        <f t="shared" si="3"/>
        <v>LOIER47</v>
      </c>
      <c r="B205" s="3" t="s">
        <v>734</v>
      </c>
      <c r="C205" s="3" t="s">
        <v>147</v>
      </c>
      <c r="D205" s="3" t="s">
        <v>103</v>
      </c>
      <c r="E205" s="3" t="s">
        <v>99</v>
      </c>
      <c r="F205" s="3" t="s">
        <v>185</v>
      </c>
      <c r="G205" s="4" t="s">
        <v>507</v>
      </c>
      <c r="H205" s="7">
        <v>2</v>
      </c>
      <c r="I205" s="4" t="s">
        <v>89</v>
      </c>
      <c r="J205" s="4" t="s">
        <v>793</v>
      </c>
      <c r="K205" s="6"/>
      <c r="L205" s="6"/>
      <c r="M205" s="6"/>
      <c r="N205" s="6"/>
      <c r="P205" s="4" t="s">
        <v>793</v>
      </c>
    </row>
    <row r="206" spans="1:16" x14ac:dyDescent="0.25">
      <c r="A206" s="3" t="str">
        <f t="shared" si="3"/>
        <v>MALFO47</v>
      </c>
      <c r="B206" s="3" t="s">
        <v>319</v>
      </c>
      <c r="C206" s="3" t="s">
        <v>147</v>
      </c>
      <c r="D206" s="3" t="s">
        <v>103</v>
      </c>
      <c r="E206" s="3" t="s">
        <v>99</v>
      </c>
      <c r="F206" s="3" t="s">
        <v>185</v>
      </c>
      <c r="G206" s="4" t="s">
        <v>507</v>
      </c>
      <c r="H206" s="7">
        <v>3</v>
      </c>
      <c r="I206" s="4" t="s">
        <v>89</v>
      </c>
      <c r="J206" s="4" t="s">
        <v>793</v>
      </c>
      <c r="K206" s="6"/>
      <c r="L206" s="6"/>
      <c r="M206" s="6"/>
      <c r="N206" s="6"/>
      <c r="P206" s="4" t="s">
        <v>793</v>
      </c>
    </row>
    <row r="207" spans="1:16" x14ac:dyDescent="0.25">
      <c r="A207" s="3" t="str">
        <f t="shared" si="3"/>
        <v>CAABU41</v>
      </c>
      <c r="B207" s="3" t="s">
        <v>39</v>
      </c>
      <c r="C207" s="3" t="s">
        <v>147</v>
      </c>
      <c r="D207" s="3" t="s">
        <v>104</v>
      </c>
      <c r="E207" s="3" t="s">
        <v>102</v>
      </c>
      <c r="F207" s="3" t="s">
        <v>194</v>
      </c>
      <c r="G207" s="4" t="s">
        <v>130</v>
      </c>
      <c r="H207" s="7"/>
      <c r="I207" s="4" t="s">
        <v>92</v>
      </c>
      <c r="J207" s="4" t="s">
        <v>787</v>
      </c>
      <c r="K207" s="6"/>
      <c r="L207" s="6"/>
      <c r="M207" s="6"/>
      <c r="N207" s="6"/>
      <c r="P207" s="4" t="s">
        <v>787</v>
      </c>
    </row>
    <row r="208" spans="1:16" x14ac:dyDescent="0.25">
      <c r="A208" s="3" t="str">
        <f t="shared" si="3"/>
        <v>CALOS41</v>
      </c>
      <c r="B208" s="3" t="s">
        <v>658</v>
      </c>
      <c r="C208" s="3" t="s">
        <v>147</v>
      </c>
      <c r="D208" s="3" t="s">
        <v>103</v>
      </c>
      <c r="E208" s="3" t="s">
        <v>102</v>
      </c>
      <c r="F208" s="3" t="s">
        <v>194</v>
      </c>
      <c r="G208" s="4" t="s">
        <v>130</v>
      </c>
      <c r="H208" s="7">
        <v>1</v>
      </c>
      <c r="I208" s="4" t="s">
        <v>92</v>
      </c>
      <c r="J208" s="4" t="s">
        <v>793</v>
      </c>
      <c r="K208" s="6"/>
      <c r="L208" s="6"/>
      <c r="M208" s="6"/>
      <c r="N208" s="6"/>
      <c r="P208" s="4" t="s">
        <v>793</v>
      </c>
    </row>
    <row r="209" spans="1:16" x14ac:dyDescent="0.25">
      <c r="A209" s="3" t="str">
        <f t="shared" si="3"/>
        <v>CUTOR71</v>
      </c>
      <c r="B209" s="3" t="s">
        <v>661</v>
      </c>
      <c r="C209" s="3" t="s">
        <v>147</v>
      </c>
      <c r="D209" s="3" t="s">
        <v>104</v>
      </c>
      <c r="E209" s="3" t="s">
        <v>102</v>
      </c>
      <c r="F209" s="3" t="s">
        <v>194</v>
      </c>
      <c r="G209" s="4" t="s">
        <v>144</v>
      </c>
      <c r="H209" s="7"/>
      <c r="I209" s="4" t="s">
        <v>89</v>
      </c>
      <c r="J209" s="4" t="s">
        <v>806</v>
      </c>
      <c r="K209" s="6"/>
      <c r="L209" s="6"/>
      <c r="M209" s="6"/>
      <c r="N209" s="6"/>
      <c r="P209" s="4" t="s">
        <v>806</v>
      </c>
    </row>
    <row r="210" spans="1:16" x14ac:dyDescent="0.25">
      <c r="A210" s="3" t="str">
        <f t="shared" si="3"/>
        <v>DAGEL81</v>
      </c>
      <c r="B210" s="3" t="s">
        <v>662</v>
      </c>
      <c r="C210" s="3" t="s">
        <v>147</v>
      </c>
      <c r="D210" s="3" t="s">
        <v>150</v>
      </c>
      <c r="E210" s="3" t="s">
        <v>102</v>
      </c>
      <c r="F210" s="3" t="s">
        <v>194</v>
      </c>
      <c r="G210" s="4" t="s">
        <v>425</v>
      </c>
      <c r="H210" s="7">
        <v>2</v>
      </c>
      <c r="I210" s="4" t="s">
        <v>91</v>
      </c>
      <c r="J210" s="4" t="s">
        <v>797</v>
      </c>
      <c r="K210" s="6"/>
      <c r="L210" s="6"/>
      <c r="M210" s="6"/>
      <c r="N210" s="6"/>
      <c r="P210" s="4" t="s">
        <v>797</v>
      </c>
    </row>
    <row r="211" spans="1:16" x14ac:dyDescent="0.25">
      <c r="A211" s="3" t="str">
        <f t="shared" si="3"/>
        <v>GOLIO62</v>
      </c>
      <c r="B211" s="3" t="s">
        <v>665</v>
      </c>
      <c r="C211" s="3" t="s">
        <v>147</v>
      </c>
      <c r="D211" s="3" t="s">
        <v>103</v>
      </c>
      <c r="E211" s="3" t="s">
        <v>102</v>
      </c>
      <c r="F211" s="3" t="s">
        <v>194</v>
      </c>
      <c r="G211" s="4" t="s">
        <v>447</v>
      </c>
      <c r="H211" s="7"/>
      <c r="I211" s="4" t="s">
        <v>89</v>
      </c>
      <c r="J211" s="4" t="s">
        <v>793</v>
      </c>
      <c r="K211" s="6"/>
      <c r="L211" s="6"/>
      <c r="M211" s="6"/>
      <c r="N211" s="6"/>
      <c r="P211" s="4" t="s">
        <v>793</v>
      </c>
    </row>
    <row r="212" spans="1:16" x14ac:dyDescent="0.25">
      <c r="A212" s="3" t="str">
        <f t="shared" si="3"/>
        <v>HUSES105</v>
      </c>
      <c r="B212" s="3" t="s">
        <v>668</v>
      </c>
      <c r="C212" s="3" t="s">
        <v>147</v>
      </c>
      <c r="D212" s="3" t="s">
        <v>150</v>
      </c>
      <c r="E212" s="3" t="s">
        <v>102</v>
      </c>
      <c r="F212" s="3" t="s">
        <v>194</v>
      </c>
      <c r="G212" s="4" t="s">
        <v>485</v>
      </c>
      <c r="H212" s="7"/>
      <c r="I212" s="4" t="s">
        <v>92</v>
      </c>
      <c r="J212" s="4" t="s">
        <v>806</v>
      </c>
      <c r="K212" s="6"/>
      <c r="L212" s="6"/>
      <c r="M212" s="6"/>
      <c r="N212" s="6"/>
      <c r="P212" s="4" t="s">
        <v>806</v>
      </c>
    </row>
    <row r="213" spans="1:16" x14ac:dyDescent="0.25">
      <c r="A213" s="3" t="str">
        <f t="shared" si="3"/>
        <v>JIVID56</v>
      </c>
      <c r="B213" s="3" t="s">
        <v>54</v>
      </c>
      <c r="C213" s="3" t="s">
        <v>147</v>
      </c>
      <c r="D213" s="3" t="s">
        <v>103</v>
      </c>
      <c r="E213" s="3" t="s">
        <v>102</v>
      </c>
      <c r="F213" s="3" t="s">
        <v>194</v>
      </c>
      <c r="G213" s="4" t="s">
        <v>494</v>
      </c>
      <c r="H213" s="7">
        <v>3</v>
      </c>
      <c r="I213" s="4" t="s">
        <v>89</v>
      </c>
      <c r="J213" s="4" t="s">
        <v>787</v>
      </c>
      <c r="K213" s="6"/>
      <c r="L213" s="6"/>
      <c r="M213" s="6"/>
      <c r="N213" s="6"/>
      <c r="P213" s="4" t="s">
        <v>787</v>
      </c>
    </row>
    <row r="214" spans="1:16" x14ac:dyDescent="0.25">
      <c r="A214" s="3" t="str">
        <f t="shared" si="3"/>
        <v>LAREY116</v>
      </c>
      <c r="B214" s="3" t="s">
        <v>55</v>
      </c>
      <c r="C214" s="3" t="s">
        <v>147</v>
      </c>
      <c r="D214" s="3" t="s">
        <v>104</v>
      </c>
      <c r="E214" s="3" t="s">
        <v>102</v>
      </c>
      <c r="F214" s="3" t="s">
        <v>194</v>
      </c>
      <c r="G214" s="4" t="s">
        <v>499</v>
      </c>
      <c r="H214" s="7">
        <v>3</v>
      </c>
      <c r="I214" s="4" t="s">
        <v>89</v>
      </c>
      <c r="J214" s="4" t="s">
        <v>805</v>
      </c>
      <c r="K214" s="6"/>
      <c r="L214" s="6"/>
      <c r="M214" s="6"/>
      <c r="N214" s="6"/>
      <c r="P214" s="4" t="s">
        <v>805</v>
      </c>
    </row>
    <row r="215" spans="1:16" x14ac:dyDescent="0.25">
      <c r="A215" s="3" t="str">
        <f t="shared" si="3"/>
        <v>PAUAN810</v>
      </c>
      <c r="B215" s="3" t="s">
        <v>671</v>
      </c>
      <c r="C215" s="3" t="s">
        <v>147</v>
      </c>
      <c r="D215" s="3" t="s">
        <v>103</v>
      </c>
      <c r="E215" s="3" t="s">
        <v>102</v>
      </c>
      <c r="F215" s="3" t="s">
        <v>194</v>
      </c>
      <c r="G215" s="4" t="s">
        <v>549</v>
      </c>
      <c r="H215" s="7">
        <v>2</v>
      </c>
      <c r="I215" s="4" t="s">
        <v>89</v>
      </c>
      <c r="J215" s="4" t="s">
        <v>793</v>
      </c>
      <c r="K215" s="6"/>
      <c r="L215" s="6"/>
      <c r="M215" s="6"/>
      <c r="N215" s="6"/>
      <c r="P215" s="4" t="s">
        <v>793</v>
      </c>
    </row>
    <row r="216" spans="1:16" x14ac:dyDescent="0.25">
      <c r="A216" s="3" t="str">
        <f t="shared" si="3"/>
        <v>PIUEL212</v>
      </c>
      <c r="B216" s="3" t="s">
        <v>61</v>
      </c>
      <c r="C216" s="3" t="s">
        <v>147</v>
      </c>
      <c r="D216" s="3" t="s">
        <v>150</v>
      </c>
      <c r="E216" s="3" t="s">
        <v>102</v>
      </c>
      <c r="F216" s="3" t="s">
        <v>194</v>
      </c>
      <c r="G216" s="4" t="s">
        <v>568</v>
      </c>
      <c r="H216" s="7"/>
      <c r="I216" s="4" t="s">
        <v>91</v>
      </c>
      <c r="J216" s="4" t="s">
        <v>806</v>
      </c>
      <c r="K216" s="6"/>
      <c r="L216" s="6"/>
      <c r="M216" s="6"/>
      <c r="N216" s="6"/>
      <c r="P216" s="4" t="s">
        <v>806</v>
      </c>
    </row>
    <row r="217" spans="1:16" x14ac:dyDescent="0.25">
      <c r="A217" s="3" t="str">
        <f t="shared" si="3"/>
        <v>ALRDO11</v>
      </c>
      <c r="B217" s="3" t="s">
        <v>73</v>
      </c>
      <c r="C217" s="3" t="s">
        <v>147</v>
      </c>
      <c r="D217" s="3" t="s">
        <v>103</v>
      </c>
      <c r="E217" s="3" t="s">
        <v>99</v>
      </c>
      <c r="F217" s="3" t="s">
        <v>153</v>
      </c>
      <c r="G217" s="4" t="s">
        <v>114</v>
      </c>
      <c r="H217" s="7">
        <v>1</v>
      </c>
      <c r="I217" s="4" t="s">
        <v>89</v>
      </c>
      <c r="J217" s="4" t="s">
        <v>813</v>
      </c>
      <c r="K217" s="6"/>
      <c r="L217" s="6"/>
      <c r="M217" s="6"/>
      <c r="N217" s="6"/>
      <c r="P217" s="4" t="s">
        <v>813</v>
      </c>
    </row>
    <row r="218" spans="1:16" x14ac:dyDescent="0.25">
      <c r="A218" s="3" t="str">
        <f t="shared" si="3"/>
        <v>BADDY31</v>
      </c>
      <c r="B218" s="3" t="s">
        <v>88</v>
      </c>
      <c r="C218" s="3" t="s">
        <v>147</v>
      </c>
      <c r="D218" s="3" t="s">
        <v>103</v>
      </c>
      <c r="E218" s="3" t="s">
        <v>99</v>
      </c>
      <c r="F218" s="3" t="s">
        <v>153</v>
      </c>
      <c r="G218" s="4" t="s">
        <v>125</v>
      </c>
      <c r="H218" s="7">
        <v>5</v>
      </c>
      <c r="I218" s="4" t="s">
        <v>90</v>
      </c>
      <c r="J218" s="4" t="s">
        <v>807</v>
      </c>
      <c r="K218" s="6"/>
      <c r="L218" s="6"/>
      <c r="M218" s="6"/>
      <c r="N218" s="6"/>
      <c r="P218" s="4" t="s">
        <v>807</v>
      </c>
    </row>
    <row r="219" spans="1:16" x14ac:dyDescent="0.25">
      <c r="A219" s="3" t="str">
        <f t="shared" si="3"/>
        <v>CRURO71</v>
      </c>
      <c r="B219" s="3" t="s">
        <v>220</v>
      </c>
      <c r="C219" s="3" t="s">
        <v>147</v>
      </c>
      <c r="D219" s="3" t="s">
        <v>105</v>
      </c>
      <c r="E219" s="3" t="s">
        <v>99</v>
      </c>
      <c r="F219" s="3" t="s">
        <v>153</v>
      </c>
      <c r="G219" s="4" t="s">
        <v>144</v>
      </c>
      <c r="H219" s="7"/>
      <c r="I219" s="4" t="s">
        <v>90</v>
      </c>
      <c r="J219" s="4" t="s">
        <v>814</v>
      </c>
      <c r="K219" s="6"/>
      <c r="L219" s="6"/>
      <c r="M219" s="6"/>
      <c r="N219" s="6"/>
      <c r="P219" s="4" t="s">
        <v>814</v>
      </c>
    </row>
    <row r="220" spans="1:16" x14ac:dyDescent="0.25">
      <c r="A220" s="3" t="str">
        <f t="shared" si="3"/>
        <v>INORO125</v>
      </c>
      <c r="B220" s="3" t="s">
        <v>298</v>
      </c>
      <c r="C220" s="3" t="s">
        <v>147</v>
      </c>
      <c r="D220" s="3" t="s">
        <v>103</v>
      </c>
      <c r="E220" s="3" t="s">
        <v>99</v>
      </c>
      <c r="F220" s="3" t="s">
        <v>153</v>
      </c>
      <c r="G220" s="4" t="s">
        <v>487</v>
      </c>
      <c r="H220" s="7"/>
      <c r="I220" s="4" t="s">
        <v>89</v>
      </c>
      <c r="J220" s="4" t="s">
        <v>793</v>
      </c>
      <c r="K220" s="6"/>
      <c r="L220" s="6"/>
      <c r="M220" s="6"/>
      <c r="N220" s="6"/>
      <c r="P220" s="4" t="s">
        <v>793</v>
      </c>
    </row>
    <row r="221" spans="1:16" x14ac:dyDescent="0.25">
      <c r="A221" s="3" t="str">
        <f t="shared" si="3"/>
        <v>JAVID36</v>
      </c>
      <c r="B221" s="3" t="s">
        <v>726</v>
      </c>
      <c r="C221" s="3" t="s">
        <v>147</v>
      </c>
      <c r="D221" s="3" t="s">
        <v>150</v>
      </c>
      <c r="E221" s="3" t="s">
        <v>99</v>
      </c>
      <c r="F221" s="3" t="s">
        <v>153</v>
      </c>
      <c r="G221" s="4" t="s">
        <v>490</v>
      </c>
      <c r="H221" s="7">
        <v>2</v>
      </c>
      <c r="I221" s="4" t="s">
        <v>89</v>
      </c>
      <c r="J221" s="4" t="s">
        <v>793</v>
      </c>
      <c r="K221" s="6"/>
      <c r="L221" s="6"/>
      <c r="M221" s="6"/>
      <c r="N221" s="6"/>
      <c r="P221" s="4" t="s">
        <v>793</v>
      </c>
    </row>
    <row r="222" spans="1:16" x14ac:dyDescent="0.25">
      <c r="A222" s="3" t="str">
        <f t="shared" si="3"/>
        <v>LUQUE47</v>
      </c>
      <c r="B222" s="3" t="s">
        <v>317</v>
      </c>
      <c r="C222" s="3" t="s">
        <v>147</v>
      </c>
      <c r="D222" s="3" t="s">
        <v>103</v>
      </c>
      <c r="E222" s="3" t="s">
        <v>99</v>
      </c>
      <c r="F222" s="3" t="s">
        <v>153</v>
      </c>
      <c r="G222" s="4" t="s">
        <v>507</v>
      </c>
      <c r="H222" s="7">
        <v>1</v>
      </c>
      <c r="I222" s="4" t="s">
        <v>89</v>
      </c>
      <c r="J222" s="4" t="s">
        <v>807</v>
      </c>
      <c r="K222" s="6"/>
      <c r="L222" s="6"/>
      <c r="M222" s="6"/>
      <c r="N222" s="6"/>
      <c r="P222" s="4" t="s">
        <v>807</v>
      </c>
    </row>
    <row r="223" spans="1:16" x14ac:dyDescent="0.25">
      <c r="A223" s="3" t="str">
        <f t="shared" si="3"/>
        <v>ORCIS210</v>
      </c>
      <c r="B223" s="3" t="s">
        <v>345</v>
      </c>
      <c r="C223" s="3" t="s">
        <v>147</v>
      </c>
      <c r="D223" s="3" t="s">
        <v>103</v>
      </c>
      <c r="E223" s="3" t="s">
        <v>99</v>
      </c>
      <c r="F223" s="3" t="s">
        <v>153</v>
      </c>
      <c r="G223" s="4" t="s">
        <v>540</v>
      </c>
      <c r="H223" s="7"/>
      <c r="I223" s="4" t="s">
        <v>92</v>
      </c>
      <c r="J223" s="4" t="s">
        <v>807</v>
      </c>
      <c r="K223" s="6"/>
      <c r="L223" s="6"/>
      <c r="M223" s="6"/>
      <c r="N223" s="6"/>
      <c r="P223" s="4" t="s">
        <v>807</v>
      </c>
    </row>
    <row r="224" spans="1:16" x14ac:dyDescent="0.25">
      <c r="A224" s="3" t="str">
        <f t="shared" si="3"/>
        <v>ORSUS510</v>
      </c>
      <c r="B224" s="3" t="s">
        <v>350</v>
      </c>
      <c r="C224" s="3" t="s">
        <v>147</v>
      </c>
      <c r="D224" s="3" t="s">
        <v>150</v>
      </c>
      <c r="E224" s="3" t="s">
        <v>99</v>
      </c>
      <c r="F224" s="3" t="s">
        <v>153</v>
      </c>
      <c r="G224" s="4" t="s">
        <v>545</v>
      </c>
      <c r="H224" s="7"/>
      <c r="I224" s="4" t="s">
        <v>92</v>
      </c>
      <c r="J224" s="4" t="s">
        <v>793</v>
      </c>
      <c r="K224" s="6"/>
      <c r="L224" s="6"/>
      <c r="M224" s="6"/>
      <c r="N224" s="6"/>
      <c r="P224" s="4" t="s">
        <v>793</v>
      </c>
    </row>
    <row r="225" spans="1:16" x14ac:dyDescent="0.25">
      <c r="A225" s="3" t="str">
        <f t="shared" si="3"/>
        <v>RENIO514</v>
      </c>
      <c r="B225" s="3" t="s">
        <v>387</v>
      </c>
      <c r="C225" s="3" t="s">
        <v>147</v>
      </c>
      <c r="D225" s="3" t="s">
        <v>105</v>
      </c>
      <c r="E225" s="3" t="s">
        <v>99</v>
      </c>
      <c r="F225" s="3" t="s">
        <v>153</v>
      </c>
      <c r="G225" s="4" t="s">
        <v>597</v>
      </c>
      <c r="H225" s="7">
        <v>2</v>
      </c>
      <c r="I225" s="4" t="s">
        <v>90</v>
      </c>
      <c r="J225" s="4" t="s">
        <v>793</v>
      </c>
      <c r="K225" s="6"/>
      <c r="L225" s="6"/>
      <c r="M225" s="6"/>
      <c r="N225" s="6"/>
      <c r="P225" s="4" t="s">
        <v>793</v>
      </c>
    </row>
    <row r="226" spans="1:16" x14ac:dyDescent="0.25">
      <c r="A226" s="3" t="str">
        <f t="shared" si="3"/>
        <v>ROSTA515</v>
      </c>
      <c r="B226" s="3" t="s">
        <v>396</v>
      </c>
      <c r="C226" s="3" t="s">
        <v>147</v>
      </c>
      <c r="D226" s="3" t="s">
        <v>103</v>
      </c>
      <c r="E226" s="3" t="s">
        <v>99</v>
      </c>
      <c r="F226" s="3" t="s">
        <v>153</v>
      </c>
      <c r="G226" s="4" t="s">
        <v>614</v>
      </c>
      <c r="H226" s="7">
        <v>4</v>
      </c>
      <c r="I226" s="4" t="s">
        <v>91</v>
      </c>
      <c r="J226" s="4" t="s">
        <v>793</v>
      </c>
      <c r="K226" s="6"/>
      <c r="L226" s="6"/>
      <c r="M226" s="6"/>
      <c r="N226" s="6"/>
      <c r="P226" s="4" t="s">
        <v>793</v>
      </c>
    </row>
    <row r="227" spans="1:16" x14ac:dyDescent="0.25">
      <c r="A227" s="3" t="str">
        <f t="shared" si="3"/>
        <v>ROOSE916</v>
      </c>
      <c r="B227" s="3" t="s">
        <v>407</v>
      </c>
      <c r="C227" s="3" t="s">
        <v>147</v>
      </c>
      <c r="D227" s="3" t="s">
        <v>105</v>
      </c>
      <c r="E227" s="3" t="s">
        <v>99</v>
      </c>
      <c r="F227" s="3" t="s">
        <v>153</v>
      </c>
      <c r="G227" s="4" t="s">
        <v>628</v>
      </c>
      <c r="H227" s="7"/>
      <c r="I227" s="4" t="s">
        <v>91</v>
      </c>
      <c r="J227" s="4" t="s">
        <v>793</v>
      </c>
      <c r="K227" s="6"/>
      <c r="L227" s="6"/>
      <c r="M227" s="6"/>
      <c r="N227" s="6"/>
      <c r="P227" s="4" t="s">
        <v>793</v>
      </c>
    </row>
    <row r="228" spans="1:16" x14ac:dyDescent="0.25">
      <c r="A228" s="3" t="str">
        <f t="shared" si="3"/>
        <v>RADER713</v>
      </c>
      <c r="B228" s="3" t="s">
        <v>377</v>
      </c>
      <c r="C228" s="3" t="s">
        <v>147</v>
      </c>
      <c r="D228" s="3" t="s">
        <v>105</v>
      </c>
      <c r="E228" s="3" t="s">
        <v>99</v>
      </c>
      <c r="F228" s="3" t="s">
        <v>347</v>
      </c>
      <c r="G228" s="4" t="s">
        <v>587</v>
      </c>
      <c r="H228" s="7"/>
      <c r="I228" s="4" t="s">
        <v>89</v>
      </c>
      <c r="J228" s="4" t="s">
        <v>785</v>
      </c>
      <c r="K228" s="6"/>
      <c r="L228" s="6"/>
      <c r="M228" s="6"/>
      <c r="N228" s="6"/>
      <c r="P228" s="4" t="s">
        <v>785</v>
      </c>
    </row>
    <row r="229" spans="1:16" x14ac:dyDescent="0.25">
      <c r="A229" s="3" t="str">
        <f t="shared" si="3"/>
        <v>BAMON31</v>
      </c>
      <c r="B229" s="3" t="s">
        <v>173</v>
      </c>
      <c r="C229" s="3" t="s">
        <v>147</v>
      </c>
      <c r="D229" s="3" t="s">
        <v>103</v>
      </c>
      <c r="E229" s="3" t="s">
        <v>99</v>
      </c>
      <c r="F229" s="3" t="s">
        <v>174</v>
      </c>
      <c r="G229" s="4" t="s">
        <v>126</v>
      </c>
      <c r="H229" s="7">
        <v>4</v>
      </c>
      <c r="I229" s="4" t="s">
        <v>92</v>
      </c>
      <c r="J229" s="4" t="s">
        <v>815</v>
      </c>
      <c r="K229" s="6"/>
      <c r="L229" s="6"/>
      <c r="M229" s="6"/>
      <c r="N229" s="6"/>
      <c r="P229" s="4" t="s">
        <v>815</v>
      </c>
    </row>
    <row r="230" spans="1:16" x14ac:dyDescent="0.25">
      <c r="A230" s="3" t="str">
        <f t="shared" si="3"/>
        <v>HUHAM85</v>
      </c>
      <c r="B230" s="3" t="s">
        <v>292</v>
      </c>
      <c r="C230" s="3" t="s">
        <v>147</v>
      </c>
      <c r="D230" s="3" t="s">
        <v>150</v>
      </c>
      <c r="E230" s="3" t="s">
        <v>99</v>
      </c>
      <c r="F230" s="3" t="s">
        <v>174</v>
      </c>
      <c r="G230" s="4" t="s">
        <v>482</v>
      </c>
      <c r="H230" s="7"/>
      <c r="I230" s="4" t="s">
        <v>90</v>
      </c>
      <c r="J230" s="4" t="s">
        <v>816</v>
      </c>
      <c r="K230" s="6"/>
      <c r="L230" s="6"/>
      <c r="M230" s="6"/>
      <c r="N230" s="6"/>
      <c r="P230" s="4" t="s">
        <v>816</v>
      </c>
    </row>
    <row r="231" spans="1:16" x14ac:dyDescent="0.25">
      <c r="A231" s="3" t="str">
        <f t="shared" si="3"/>
        <v>ARTOR21</v>
      </c>
      <c r="B231" s="3" t="s">
        <v>82</v>
      </c>
      <c r="C231" s="3" t="s">
        <v>147</v>
      </c>
      <c r="D231" s="3" t="s">
        <v>105</v>
      </c>
      <c r="E231" s="3" t="s">
        <v>99</v>
      </c>
      <c r="F231" s="3" t="s">
        <v>163</v>
      </c>
      <c r="G231" s="4" t="s">
        <v>122</v>
      </c>
      <c r="H231" s="7"/>
      <c r="I231" s="4" t="s">
        <v>91</v>
      </c>
      <c r="J231" s="4" t="s">
        <v>785</v>
      </c>
      <c r="K231" s="6"/>
      <c r="L231" s="6"/>
      <c r="M231" s="6"/>
      <c r="N231" s="6"/>
      <c r="P231" s="4" t="s">
        <v>785</v>
      </c>
    </row>
    <row r="232" spans="1:16" x14ac:dyDescent="0.25">
      <c r="A232" s="3" t="str">
        <f t="shared" si="3"/>
        <v>BELOS31</v>
      </c>
      <c r="B232" s="3" t="s">
        <v>178</v>
      </c>
      <c r="C232" s="3" t="s">
        <v>147</v>
      </c>
      <c r="D232" s="3" t="s">
        <v>104</v>
      </c>
      <c r="E232" s="3" t="s">
        <v>99</v>
      </c>
      <c r="F232" s="3" t="s">
        <v>179</v>
      </c>
      <c r="G232" s="4" t="s">
        <v>126</v>
      </c>
      <c r="H232" s="7"/>
      <c r="I232" s="4" t="s">
        <v>91</v>
      </c>
      <c r="J232" s="4" t="s">
        <v>817</v>
      </c>
      <c r="K232" s="6"/>
      <c r="L232" s="6"/>
      <c r="M232" s="6"/>
      <c r="N232" s="6"/>
      <c r="P232" s="4" t="s">
        <v>817</v>
      </c>
    </row>
    <row r="233" spans="1:16" x14ac:dyDescent="0.25">
      <c r="A233" s="3" t="str">
        <f t="shared" si="3"/>
        <v>CANAL41</v>
      </c>
      <c r="B233" s="3" t="s">
        <v>689</v>
      </c>
      <c r="C233" s="3" t="s">
        <v>147</v>
      </c>
      <c r="D233" s="3" t="s">
        <v>105</v>
      </c>
      <c r="E233" s="3" t="s">
        <v>99</v>
      </c>
      <c r="F233" s="3" t="s">
        <v>179</v>
      </c>
      <c r="G233" s="4" t="s">
        <v>130</v>
      </c>
      <c r="H233" s="7">
        <v>4</v>
      </c>
      <c r="I233" s="4" t="s">
        <v>90</v>
      </c>
      <c r="J233" s="4" t="s">
        <v>818</v>
      </c>
      <c r="K233" s="6"/>
      <c r="L233" s="6"/>
      <c r="M233" s="6"/>
      <c r="N233" s="6"/>
      <c r="P233" s="4" t="s">
        <v>818</v>
      </c>
    </row>
    <row r="234" spans="1:16" x14ac:dyDescent="0.25">
      <c r="A234" s="3" t="str">
        <f t="shared" si="3"/>
        <v>RIGER714</v>
      </c>
      <c r="B234" s="3" t="s">
        <v>776</v>
      </c>
      <c r="C234" s="3" t="s">
        <v>147</v>
      </c>
      <c r="D234" s="3" t="s">
        <v>103</v>
      </c>
      <c r="E234" s="3" t="s">
        <v>99</v>
      </c>
      <c r="F234" s="3" t="s">
        <v>179</v>
      </c>
      <c r="G234" s="4" t="s">
        <v>599</v>
      </c>
      <c r="H234" s="7">
        <v>3</v>
      </c>
      <c r="I234" s="4" t="s">
        <v>89</v>
      </c>
      <c r="J234" s="4" t="s">
        <v>819</v>
      </c>
      <c r="K234" s="6"/>
      <c r="L234" s="6"/>
      <c r="M234" s="6"/>
      <c r="N234" s="6"/>
      <c r="P234" s="4" t="s">
        <v>819</v>
      </c>
    </row>
    <row r="235" spans="1:16" x14ac:dyDescent="0.25">
      <c r="A235" s="3" t="str">
        <f t="shared" si="3"/>
        <v>ALEDO11</v>
      </c>
      <c r="B235" s="3" t="s">
        <v>74</v>
      </c>
      <c r="C235" s="3" t="s">
        <v>147</v>
      </c>
      <c r="D235" s="3" t="s">
        <v>105</v>
      </c>
      <c r="E235" s="3" t="s">
        <v>99</v>
      </c>
      <c r="F235" s="3" t="s">
        <v>154</v>
      </c>
      <c r="G235" s="4" t="s">
        <v>115</v>
      </c>
      <c r="H235" s="7"/>
      <c r="I235" s="4" t="s">
        <v>90</v>
      </c>
      <c r="J235" s="4" t="s">
        <v>820</v>
      </c>
      <c r="K235" s="6"/>
      <c r="L235" s="6"/>
      <c r="M235" s="6"/>
      <c r="N235" s="6"/>
      <c r="P235" s="4" t="s">
        <v>820</v>
      </c>
    </row>
    <row r="236" spans="1:16" x14ac:dyDescent="0.25">
      <c r="A236" s="3" t="str">
        <f t="shared" si="3"/>
        <v>COVID61</v>
      </c>
      <c r="B236" s="3" t="s">
        <v>701</v>
      </c>
      <c r="C236" s="3" t="s">
        <v>147</v>
      </c>
      <c r="D236" s="3" t="s">
        <v>103</v>
      </c>
      <c r="E236" s="3" t="s">
        <v>99</v>
      </c>
      <c r="F236" s="3" t="s">
        <v>154</v>
      </c>
      <c r="G236" s="4" t="s">
        <v>140</v>
      </c>
      <c r="H236" s="7"/>
      <c r="I236" s="4" t="s">
        <v>89</v>
      </c>
      <c r="J236" s="4" t="s">
        <v>786</v>
      </c>
      <c r="K236" s="6"/>
      <c r="L236" s="6"/>
      <c r="M236" s="6"/>
      <c r="N236" s="6"/>
      <c r="P236" s="4" t="s">
        <v>786</v>
      </c>
    </row>
    <row r="237" spans="1:16" x14ac:dyDescent="0.25">
      <c r="A237" s="3" t="str">
        <f t="shared" si="3"/>
        <v>CUSEL81</v>
      </c>
      <c r="B237" s="3" t="s">
        <v>225</v>
      </c>
      <c r="C237" s="3" t="s">
        <v>157</v>
      </c>
      <c r="D237" s="3" t="s">
        <v>150</v>
      </c>
      <c r="E237" s="3" t="s">
        <v>99</v>
      </c>
      <c r="F237" s="3" t="s">
        <v>154</v>
      </c>
      <c r="G237" s="4" t="s">
        <v>145</v>
      </c>
      <c r="H237" s="7">
        <v>1</v>
      </c>
      <c r="I237" s="4" t="s">
        <v>91</v>
      </c>
      <c r="J237" s="4" t="s">
        <v>821</v>
      </c>
      <c r="K237" s="6"/>
      <c r="L237" s="6"/>
      <c r="M237" s="6"/>
      <c r="N237" s="6"/>
      <c r="P237" s="4" t="s">
        <v>821</v>
      </c>
    </row>
    <row r="238" spans="1:16" x14ac:dyDescent="0.25">
      <c r="A238" s="3" t="str">
        <f t="shared" si="3"/>
        <v>ESUIS91</v>
      </c>
      <c r="B238" s="3" t="s">
        <v>237</v>
      </c>
      <c r="C238" s="3" t="s">
        <v>147</v>
      </c>
      <c r="D238" s="3" t="s">
        <v>103</v>
      </c>
      <c r="E238" s="3" t="s">
        <v>99</v>
      </c>
      <c r="F238" s="3" t="s">
        <v>154</v>
      </c>
      <c r="G238" s="4" t="s">
        <v>434</v>
      </c>
      <c r="H238" s="7"/>
      <c r="I238" s="4" t="s">
        <v>89</v>
      </c>
      <c r="J238" s="4" t="s">
        <v>808</v>
      </c>
      <c r="K238" s="6"/>
      <c r="L238" s="6"/>
      <c r="M238" s="6"/>
      <c r="N238" s="6"/>
      <c r="P238" s="4" t="s">
        <v>808</v>
      </c>
    </row>
    <row r="239" spans="1:16" x14ac:dyDescent="0.25">
      <c r="A239" s="3" t="str">
        <f t="shared" si="3"/>
        <v>FLSUS121</v>
      </c>
      <c r="B239" s="3" t="s">
        <v>250</v>
      </c>
      <c r="C239" s="3" t="s">
        <v>147</v>
      </c>
      <c r="D239" s="3" t="s">
        <v>105</v>
      </c>
      <c r="E239" s="3" t="s">
        <v>99</v>
      </c>
      <c r="F239" s="3" t="s">
        <v>154</v>
      </c>
      <c r="G239" s="4" t="s">
        <v>441</v>
      </c>
      <c r="H239" s="7">
        <v>1</v>
      </c>
      <c r="I239" s="4" t="s">
        <v>90</v>
      </c>
      <c r="J239" s="4" t="s">
        <v>808</v>
      </c>
      <c r="K239" s="6"/>
      <c r="L239" s="6"/>
      <c r="M239" s="6"/>
      <c r="N239" s="6"/>
      <c r="P239" s="4" t="s">
        <v>808</v>
      </c>
    </row>
    <row r="240" spans="1:16" x14ac:dyDescent="0.25">
      <c r="A240" s="3" t="str">
        <f t="shared" si="3"/>
        <v>HIEMI34</v>
      </c>
      <c r="B240" s="3" t="s">
        <v>271</v>
      </c>
      <c r="C240" s="3" t="s">
        <v>157</v>
      </c>
      <c r="D240" s="3" t="s">
        <v>104</v>
      </c>
      <c r="E240" s="3" t="s">
        <v>99</v>
      </c>
      <c r="F240" s="3" t="s">
        <v>154</v>
      </c>
      <c r="G240" s="4" t="s">
        <v>464</v>
      </c>
      <c r="H240" s="7">
        <v>5</v>
      </c>
      <c r="I240" s="4" t="s">
        <v>89</v>
      </c>
      <c r="J240" s="4" t="s">
        <v>810</v>
      </c>
      <c r="K240" s="6"/>
      <c r="L240" s="6"/>
      <c r="M240" s="6"/>
      <c r="N240" s="6"/>
      <c r="P240" s="4" t="s">
        <v>810</v>
      </c>
    </row>
    <row r="241" spans="1:16" x14ac:dyDescent="0.25">
      <c r="A241" s="3" t="str">
        <f t="shared" si="3"/>
        <v>OJMER129</v>
      </c>
      <c r="B241" s="3" t="s">
        <v>751</v>
      </c>
      <c r="C241" s="3" t="s">
        <v>147</v>
      </c>
      <c r="D241" s="3" t="s">
        <v>150</v>
      </c>
      <c r="E241" s="3" t="s">
        <v>99</v>
      </c>
      <c r="F241" s="3" t="s">
        <v>154</v>
      </c>
      <c r="G241" s="4" t="s">
        <v>536</v>
      </c>
      <c r="H241" s="7">
        <v>3</v>
      </c>
      <c r="I241" s="4" t="s">
        <v>90</v>
      </c>
      <c r="J241" s="4" t="s">
        <v>820</v>
      </c>
      <c r="K241" s="6"/>
      <c r="L241" s="6"/>
      <c r="M241" s="6"/>
      <c r="N241" s="6"/>
      <c r="P241" s="4" t="s">
        <v>820</v>
      </c>
    </row>
    <row r="242" spans="1:16" x14ac:dyDescent="0.25">
      <c r="A242" s="3" t="str">
        <f t="shared" si="3"/>
        <v>CHAIN51</v>
      </c>
      <c r="B242" s="3" t="s">
        <v>696</v>
      </c>
      <c r="C242" s="3" t="s">
        <v>147</v>
      </c>
      <c r="D242" s="3" t="s">
        <v>150</v>
      </c>
      <c r="E242" s="3" t="s">
        <v>99</v>
      </c>
      <c r="F242" s="3" t="s">
        <v>198</v>
      </c>
      <c r="G242" s="4" t="s">
        <v>132</v>
      </c>
      <c r="H242" s="7">
        <v>2</v>
      </c>
      <c r="I242" s="4" t="s">
        <v>91</v>
      </c>
      <c r="J242" s="4" t="s">
        <v>822</v>
      </c>
      <c r="K242" s="6"/>
      <c r="L242" s="6"/>
      <c r="M242" s="6"/>
      <c r="N242" s="6"/>
      <c r="P242" s="4" t="s">
        <v>822</v>
      </c>
    </row>
    <row r="243" spans="1:16" x14ac:dyDescent="0.25">
      <c r="A243" s="3" t="str">
        <f t="shared" si="3"/>
        <v>CHNAN51</v>
      </c>
      <c r="B243" s="3" t="s">
        <v>204</v>
      </c>
      <c r="C243" s="3" t="s">
        <v>147</v>
      </c>
      <c r="D243" s="3" t="s">
        <v>103</v>
      </c>
      <c r="E243" s="3" t="s">
        <v>99</v>
      </c>
      <c r="F243" s="3" t="s">
        <v>198</v>
      </c>
      <c r="G243" s="4" t="s">
        <v>135</v>
      </c>
      <c r="H243" s="7"/>
      <c r="I243" s="4" t="s">
        <v>91</v>
      </c>
      <c r="J243" s="4" t="s">
        <v>815</v>
      </c>
      <c r="K243" s="6"/>
      <c r="L243" s="6"/>
      <c r="M243" s="6"/>
      <c r="N243" s="6"/>
      <c r="P243" s="4" t="s">
        <v>815</v>
      </c>
    </row>
    <row r="244" spans="1:16" x14ac:dyDescent="0.25">
      <c r="A244" s="3" t="str">
        <f t="shared" si="3"/>
        <v>CILAY51</v>
      </c>
      <c r="B244" s="3" t="s">
        <v>205</v>
      </c>
      <c r="C244" s="3" t="s">
        <v>147</v>
      </c>
      <c r="D244" s="3" t="s">
        <v>103</v>
      </c>
      <c r="E244" s="3" t="s">
        <v>99</v>
      </c>
      <c r="F244" s="3" t="s">
        <v>198</v>
      </c>
      <c r="G244" s="4" t="s">
        <v>135</v>
      </c>
      <c r="H244" s="7">
        <v>1</v>
      </c>
      <c r="I244" s="4" t="s">
        <v>89</v>
      </c>
      <c r="J244" s="4" t="s">
        <v>815</v>
      </c>
      <c r="K244" s="6"/>
      <c r="L244" s="6"/>
      <c r="M244" s="6"/>
      <c r="N244" s="6"/>
      <c r="P244" s="4" t="s">
        <v>815</v>
      </c>
    </row>
    <row r="245" spans="1:16" x14ac:dyDescent="0.25">
      <c r="A245" s="3" t="str">
        <f t="shared" si="3"/>
        <v>GUNES53</v>
      </c>
      <c r="B245" s="3" t="s">
        <v>717</v>
      </c>
      <c r="C245" s="3" t="s">
        <v>147</v>
      </c>
      <c r="D245" s="3" t="s">
        <v>103</v>
      </c>
      <c r="E245" s="3" t="s">
        <v>99</v>
      </c>
      <c r="F245" s="3" t="s">
        <v>198</v>
      </c>
      <c r="G245" s="4" t="s">
        <v>454</v>
      </c>
      <c r="H245" s="7">
        <v>3</v>
      </c>
      <c r="I245" s="4" t="s">
        <v>91</v>
      </c>
      <c r="J245" s="4" t="s">
        <v>785</v>
      </c>
      <c r="K245" s="6"/>
      <c r="L245" s="6"/>
      <c r="M245" s="6"/>
      <c r="N245" s="6"/>
      <c r="P245" s="4" t="s">
        <v>785</v>
      </c>
    </row>
    <row r="246" spans="1:16" x14ac:dyDescent="0.25">
      <c r="A246" s="3" t="str">
        <f t="shared" si="3"/>
        <v>LAORO76</v>
      </c>
      <c r="B246" s="3" t="s">
        <v>307</v>
      </c>
      <c r="C246" s="3" t="s">
        <v>147</v>
      </c>
      <c r="D246" s="3" t="s">
        <v>104</v>
      </c>
      <c r="E246" s="3" t="s">
        <v>99</v>
      </c>
      <c r="F246" s="3" t="s">
        <v>198</v>
      </c>
      <c r="G246" s="4" t="s">
        <v>496</v>
      </c>
      <c r="H246" s="7">
        <v>3</v>
      </c>
      <c r="I246" s="4" t="s">
        <v>89</v>
      </c>
      <c r="J246" s="4" t="s">
        <v>823</v>
      </c>
      <c r="K246" s="6"/>
      <c r="L246" s="6"/>
      <c r="M246" s="6"/>
      <c r="N246" s="6"/>
      <c r="P246" s="4" t="s">
        <v>823</v>
      </c>
    </row>
    <row r="247" spans="1:16" x14ac:dyDescent="0.25">
      <c r="A247" s="3" t="str">
        <f t="shared" si="3"/>
        <v>MONER118</v>
      </c>
      <c r="B247" s="3" t="s">
        <v>744</v>
      </c>
      <c r="C247" s="3" t="s">
        <v>147</v>
      </c>
      <c r="D247" s="3" t="s">
        <v>103</v>
      </c>
      <c r="E247" s="3" t="s">
        <v>99</v>
      </c>
      <c r="F247" s="3" t="s">
        <v>198</v>
      </c>
      <c r="G247" s="4" t="s">
        <v>528</v>
      </c>
      <c r="H247" s="7">
        <v>6</v>
      </c>
      <c r="I247" s="4" t="s">
        <v>90</v>
      </c>
      <c r="J247" s="4" t="s">
        <v>824</v>
      </c>
      <c r="K247" s="6"/>
      <c r="L247" s="6"/>
      <c r="M247" s="6"/>
      <c r="N247" s="6"/>
      <c r="P247" s="4" t="s">
        <v>824</v>
      </c>
    </row>
    <row r="248" spans="1:16" x14ac:dyDescent="0.25">
      <c r="A248" s="3" t="str">
        <f t="shared" si="3"/>
        <v>MOLOS78</v>
      </c>
      <c r="B248" s="3" t="s">
        <v>747</v>
      </c>
      <c r="C248" s="3" t="s">
        <v>147</v>
      </c>
      <c r="D248" s="3" t="s">
        <v>103</v>
      </c>
      <c r="E248" s="3" t="s">
        <v>99</v>
      </c>
      <c r="F248" s="3" t="s">
        <v>198</v>
      </c>
      <c r="G248" s="4" t="s">
        <v>526</v>
      </c>
      <c r="H248" s="7">
        <v>1</v>
      </c>
      <c r="I248" s="4" t="s">
        <v>89</v>
      </c>
      <c r="J248" s="4" t="s">
        <v>823</v>
      </c>
      <c r="K248" s="6"/>
      <c r="L248" s="6"/>
      <c r="M248" s="6"/>
      <c r="N248" s="6"/>
      <c r="P248" s="4" t="s">
        <v>823</v>
      </c>
    </row>
    <row r="249" spans="1:16" x14ac:dyDescent="0.25">
      <c r="A249" s="3" t="str">
        <f t="shared" si="3"/>
        <v>MOMAN78</v>
      </c>
      <c r="B249" s="3" t="s">
        <v>748</v>
      </c>
      <c r="C249" s="3" t="s">
        <v>147</v>
      </c>
      <c r="D249" s="3" t="s">
        <v>103</v>
      </c>
      <c r="E249" s="3" t="s">
        <v>99</v>
      </c>
      <c r="F249" s="3" t="s">
        <v>198</v>
      </c>
      <c r="G249" s="4" t="s">
        <v>526</v>
      </c>
      <c r="H249" s="7">
        <v>1</v>
      </c>
      <c r="I249" s="4" t="s">
        <v>90</v>
      </c>
      <c r="J249" s="4" t="s">
        <v>824</v>
      </c>
      <c r="K249" s="6"/>
      <c r="L249" s="6"/>
      <c r="M249" s="6"/>
      <c r="N249" s="6"/>
      <c r="P249" s="4" t="s">
        <v>824</v>
      </c>
    </row>
    <row r="250" spans="1:16" x14ac:dyDescent="0.25">
      <c r="A250" s="3" t="str">
        <f t="shared" si="3"/>
        <v>ORUIS510</v>
      </c>
      <c r="B250" s="3" t="s">
        <v>755</v>
      </c>
      <c r="C250" s="3" t="s">
        <v>147</v>
      </c>
      <c r="D250" s="3" t="s">
        <v>103</v>
      </c>
      <c r="E250" s="3" t="s">
        <v>99</v>
      </c>
      <c r="F250" s="3" t="s">
        <v>198</v>
      </c>
      <c r="G250" s="4" t="s">
        <v>545</v>
      </c>
      <c r="H250" s="7">
        <v>3</v>
      </c>
      <c r="I250" s="4" t="s">
        <v>91</v>
      </c>
      <c r="J250" s="4" t="s">
        <v>822</v>
      </c>
      <c r="K250" s="6"/>
      <c r="L250" s="6"/>
      <c r="M250" s="6"/>
      <c r="N250" s="6"/>
      <c r="P250" s="4" t="s">
        <v>822</v>
      </c>
    </row>
    <row r="251" spans="1:16" x14ac:dyDescent="0.25">
      <c r="A251" s="3" t="str">
        <f t="shared" si="3"/>
        <v>ORDRO510</v>
      </c>
      <c r="B251" s="3" t="s">
        <v>349</v>
      </c>
      <c r="C251" s="3" t="s">
        <v>147</v>
      </c>
      <c r="D251" s="3" t="s">
        <v>103</v>
      </c>
      <c r="E251" s="3" t="s">
        <v>99</v>
      </c>
      <c r="F251" s="3" t="s">
        <v>198</v>
      </c>
      <c r="G251" s="4" t="s">
        <v>545</v>
      </c>
      <c r="H251" s="7"/>
      <c r="I251" s="4" t="s">
        <v>89</v>
      </c>
      <c r="J251" s="4" t="s">
        <v>822</v>
      </c>
      <c r="K251" s="6"/>
      <c r="L251" s="6"/>
      <c r="M251" s="6"/>
      <c r="N251" s="6"/>
      <c r="P251" s="4" t="s">
        <v>822</v>
      </c>
    </row>
    <row r="252" spans="1:16" x14ac:dyDescent="0.25">
      <c r="A252" s="3" t="str">
        <f t="shared" si="3"/>
        <v>POSON312</v>
      </c>
      <c r="B252" s="3" t="s">
        <v>365</v>
      </c>
      <c r="C252" s="3" t="s">
        <v>147</v>
      </c>
      <c r="D252" s="3" t="s">
        <v>104</v>
      </c>
      <c r="E252" s="3" t="s">
        <v>99</v>
      </c>
      <c r="F252" s="3" t="s">
        <v>198</v>
      </c>
      <c r="G252" s="4" t="s">
        <v>570</v>
      </c>
      <c r="H252" s="7">
        <v>2</v>
      </c>
      <c r="I252" s="4" t="s">
        <v>89</v>
      </c>
      <c r="J252" s="4" t="s">
        <v>822</v>
      </c>
      <c r="K252" s="6"/>
      <c r="L252" s="6"/>
      <c r="M252" s="6"/>
      <c r="N252" s="6"/>
      <c r="P252" s="4" t="s">
        <v>822</v>
      </c>
    </row>
    <row r="253" spans="1:16" x14ac:dyDescent="0.25">
      <c r="A253" s="3" t="str">
        <f t="shared" si="3"/>
        <v>QUSES413</v>
      </c>
      <c r="B253" s="3" t="s">
        <v>375</v>
      </c>
      <c r="C253" s="3" t="s">
        <v>147</v>
      </c>
      <c r="D253" s="3" t="s">
        <v>105</v>
      </c>
      <c r="E253" s="3" t="s">
        <v>99</v>
      </c>
      <c r="F253" s="3" t="s">
        <v>198</v>
      </c>
      <c r="G253" s="4" t="s">
        <v>583</v>
      </c>
      <c r="H253" s="7"/>
      <c r="I253" s="4" t="s">
        <v>89</v>
      </c>
      <c r="J253" s="4" t="s">
        <v>822</v>
      </c>
      <c r="K253" s="6"/>
      <c r="L253" s="6"/>
      <c r="M253" s="6"/>
      <c r="N253" s="6"/>
      <c r="P253" s="4" t="s">
        <v>822</v>
      </c>
    </row>
    <row r="254" spans="1:16" x14ac:dyDescent="0.25">
      <c r="A254" s="3" t="str">
        <f t="shared" si="3"/>
        <v>QUSAR713</v>
      </c>
      <c r="B254" s="3" t="s">
        <v>772</v>
      </c>
      <c r="C254" s="3" t="s">
        <v>147</v>
      </c>
      <c r="D254" s="3" t="s">
        <v>104</v>
      </c>
      <c r="E254" s="3" t="s">
        <v>99</v>
      </c>
      <c r="F254" s="3" t="s">
        <v>198</v>
      </c>
      <c r="G254" s="4" t="s">
        <v>587</v>
      </c>
      <c r="H254" s="7"/>
      <c r="I254" s="4" t="s">
        <v>91</v>
      </c>
      <c r="J254" s="4" t="s">
        <v>822</v>
      </c>
      <c r="K254" s="6"/>
      <c r="L254" s="6"/>
      <c r="M254" s="6"/>
      <c r="N254" s="6"/>
      <c r="P254" s="4" t="s">
        <v>822</v>
      </c>
    </row>
    <row r="255" spans="1:16" x14ac:dyDescent="0.25">
      <c r="A255" s="3" t="str">
        <f t="shared" si="3"/>
        <v>RETOR414</v>
      </c>
      <c r="B255" s="3" t="s">
        <v>386</v>
      </c>
      <c r="C255" s="3" t="s">
        <v>147</v>
      </c>
      <c r="D255" s="3" t="s">
        <v>105</v>
      </c>
      <c r="E255" s="3" t="s">
        <v>99</v>
      </c>
      <c r="F255" s="3" t="s">
        <v>198</v>
      </c>
      <c r="G255" s="4" t="s">
        <v>596</v>
      </c>
      <c r="H255" s="7"/>
      <c r="I255" s="4" t="s">
        <v>91</v>
      </c>
      <c r="J255" s="4" t="s">
        <v>822</v>
      </c>
      <c r="K255" s="6"/>
      <c r="L255" s="6"/>
      <c r="M255" s="6"/>
      <c r="N255" s="6"/>
      <c r="P255" s="4" t="s">
        <v>822</v>
      </c>
    </row>
    <row r="256" spans="1:16" x14ac:dyDescent="0.25">
      <c r="A256" s="3" t="str">
        <f t="shared" si="3"/>
        <v>ISMAR36</v>
      </c>
      <c r="B256" s="3" t="s">
        <v>26</v>
      </c>
      <c r="C256" s="3" t="s">
        <v>147</v>
      </c>
      <c r="D256" s="3" t="s">
        <v>104</v>
      </c>
      <c r="E256" s="3" t="s">
        <v>101</v>
      </c>
      <c r="F256" s="3" t="s">
        <v>193</v>
      </c>
      <c r="G256" s="4" t="s">
        <v>488</v>
      </c>
      <c r="H256" s="7"/>
      <c r="I256" s="4" t="s">
        <v>89</v>
      </c>
      <c r="J256" s="4" t="s">
        <v>825</v>
      </c>
      <c r="K256" s="6"/>
      <c r="L256" s="6"/>
      <c r="M256" s="6"/>
      <c r="N256" s="6"/>
      <c r="P256" s="4" t="s">
        <v>825</v>
      </c>
    </row>
    <row r="257" spans="1:16" x14ac:dyDescent="0.25">
      <c r="A257" s="3" t="str">
        <f t="shared" si="3"/>
        <v>LELMO17</v>
      </c>
      <c r="B257" s="3" t="s">
        <v>27</v>
      </c>
      <c r="C257" s="3" t="s">
        <v>147</v>
      </c>
      <c r="D257" s="3" t="s">
        <v>104</v>
      </c>
      <c r="E257" s="3" t="s">
        <v>101</v>
      </c>
      <c r="F257" s="3" t="s">
        <v>193</v>
      </c>
      <c r="G257" s="4" t="s">
        <v>502</v>
      </c>
      <c r="H257" s="7">
        <v>1</v>
      </c>
      <c r="I257" s="4" t="s">
        <v>92</v>
      </c>
      <c r="J257" s="4" t="s">
        <v>784</v>
      </c>
      <c r="K257" s="6"/>
      <c r="L257" s="6"/>
      <c r="M257" s="6"/>
      <c r="N257" s="6"/>
      <c r="P257" s="4" t="s">
        <v>784</v>
      </c>
    </row>
    <row r="258" spans="1:16" x14ac:dyDescent="0.25">
      <c r="A258" s="3" t="str">
        <f t="shared" ref="A258:A321" si="4">+CONCATENATE(LEFT(B258,2),RIGHT(B258,3),MONTH(G258),DAY(G258))</f>
        <v>SINNE218</v>
      </c>
      <c r="B258" s="3" t="s">
        <v>657</v>
      </c>
      <c r="C258" s="3" t="s">
        <v>157</v>
      </c>
      <c r="D258" s="3" t="s">
        <v>103</v>
      </c>
      <c r="E258" s="3" t="s">
        <v>101</v>
      </c>
      <c r="F258" s="3" t="s">
        <v>193</v>
      </c>
      <c r="G258" s="4" t="s">
        <v>642</v>
      </c>
      <c r="H258" s="7">
        <v>3</v>
      </c>
      <c r="I258" s="4" t="s">
        <v>89</v>
      </c>
      <c r="J258" s="4" t="s">
        <v>785</v>
      </c>
      <c r="K258" s="6"/>
      <c r="L258" s="6"/>
      <c r="M258" s="6"/>
      <c r="N258" s="6"/>
      <c r="P258" s="4" t="s">
        <v>785</v>
      </c>
    </row>
    <row r="259" spans="1:16" x14ac:dyDescent="0.25">
      <c r="A259" s="3" t="str">
        <f t="shared" si="4"/>
        <v>FLIMO111</v>
      </c>
      <c r="B259" s="3" t="s">
        <v>46</v>
      </c>
      <c r="C259" s="3" t="s">
        <v>147</v>
      </c>
      <c r="D259" s="3" t="s">
        <v>104</v>
      </c>
      <c r="E259" s="3" t="s">
        <v>102</v>
      </c>
      <c r="F259" s="3" t="s">
        <v>248</v>
      </c>
      <c r="G259" s="4" t="s">
        <v>439</v>
      </c>
      <c r="H259" s="7">
        <v>2</v>
      </c>
      <c r="I259" s="4" t="s">
        <v>92</v>
      </c>
      <c r="J259" s="4" t="s">
        <v>816</v>
      </c>
      <c r="K259" s="6"/>
      <c r="L259" s="6"/>
      <c r="M259" s="6"/>
      <c r="N259" s="6"/>
      <c r="P259" s="4" t="s">
        <v>816</v>
      </c>
    </row>
    <row r="260" spans="1:16" x14ac:dyDescent="0.25">
      <c r="A260" s="3" t="str">
        <f t="shared" si="4"/>
        <v>ORNIO310</v>
      </c>
      <c r="B260" s="3" t="s">
        <v>59</v>
      </c>
      <c r="C260" s="3" t="s">
        <v>147</v>
      </c>
      <c r="D260" s="3" t="s">
        <v>103</v>
      </c>
      <c r="E260" s="3" t="s">
        <v>102</v>
      </c>
      <c r="F260" s="3" t="s">
        <v>248</v>
      </c>
      <c r="G260" s="4" t="s">
        <v>542</v>
      </c>
      <c r="H260" s="7">
        <v>2</v>
      </c>
      <c r="I260" s="4" t="s">
        <v>91</v>
      </c>
      <c r="J260" s="4" t="s">
        <v>824</v>
      </c>
      <c r="K260" s="6"/>
      <c r="L260" s="6"/>
      <c r="M260" s="6"/>
      <c r="N260" s="6"/>
      <c r="P260" s="4" t="s">
        <v>824</v>
      </c>
    </row>
    <row r="261" spans="1:16" x14ac:dyDescent="0.25">
      <c r="A261" s="3" t="str">
        <f t="shared" si="4"/>
        <v>ROOSE716</v>
      </c>
      <c r="B261" s="3" t="s">
        <v>405</v>
      </c>
      <c r="C261" s="3" t="s">
        <v>147</v>
      </c>
      <c r="D261" s="3" t="s">
        <v>103</v>
      </c>
      <c r="E261" s="3" t="s">
        <v>99</v>
      </c>
      <c r="F261" s="3" t="s">
        <v>400</v>
      </c>
      <c r="G261" s="4" t="s">
        <v>626</v>
      </c>
      <c r="H261" s="7"/>
      <c r="I261" s="4" t="s">
        <v>91</v>
      </c>
      <c r="J261" s="4" t="s">
        <v>795</v>
      </c>
      <c r="K261" s="6"/>
      <c r="L261" s="6"/>
      <c r="M261" s="6"/>
      <c r="N261" s="6"/>
      <c r="P261" s="4" t="s">
        <v>795</v>
      </c>
    </row>
    <row r="262" spans="1:16" x14ac:dyDescent="0.25">
      <c r="A262" s="3" t="str">
        <f t="shared" si="4"/>
        <v>ROUAN815</v>
      </c>
      <c r="B262" s="3" t="s">
        <v>781</v>
      </c>
      <c r="C262" s="3" t="s">
        <v>147</v>
      </c>
      <c r="D262" s="3" t="s">
        <v>105</v>
      </c>
      <c r="E262" s="3" t="s">
        <v>99</v>
      </c>
      <c r="F262" s="3" t="s">
        <v>400</v>
      </c>
      <c r="G262" s="4" t="s">
        <v>620</v>
      </c>
      <c r="H262" s="7">
        <v>2</v>
      </c>
      <c r="I262" s="4" t="s">
        <v>90</v>
      </c>
      <c r="J262" s="4" t="s">
        <v>826</v>
      </c>
      <c r="K262" s="6"/>
      <c r="L262" s="6"/>
      <c r="M262" s="6"/>
      <c r="N262" s="6"/>
      <c r="P262" s="4" t="s">
        <v>826</v>
      </c>
    </row>
    <row r="263" spans="1:16" x14ac:dyDescent="0.25">
      <c r="A263" s="3" t="str">
        <f t="shared" si="4"/>
        <v>ATAUL31</v>
      </c>
      <c r="B263" s="3" t="s">
        <v>35</v>
      </c>
      <c r="C263" s="3" t="s">
        <v>147</v>
      </c>
      <c r="D263" s="3" t="s">
        <v>150</v>
      </c>
      <c r="E263" s="3" t="s">
        <v>102</v>
      </c>
      <c r="F263" s="3" t="s">
        <v>166</v>
      </c>
      <c r="G263" s="4" t="s">
        <v>124</v>
      </c>
      <c r="H263" s="7">
        <v>1</v>
      </c>
      <c r="I263" s="4" t="s">
        <v>89</v>
      </c>
      <c r="J263" s="4" t="s">
        <v>807</v>
      </c>
      <c r="K263" s="6"/>
      <c r="L263" s="6"/>
      <c r="M263" s="6"/>
      <c r="N263" s="6"/>
      <c r="P263" s="4" t="s">
        <v>807</v>
      </c>
    </row>
    <row r="264" spans="1:16" x14ac:dyDescent="0.25">
      <c r="A264" s="3" t="str">
        <f t="shared" si="4"/>
        <v>BEGAR41</v>
      </c>
      <c r="B264" s="3" t="s">
        <v>37</v>
      </c>
      <c r="C264" s="3" t="s">
        <v>147</v>
      </c>
      <c r="D264" s="3" t="s">
        <v>104</v>
      </c>
      <c r="E264" s="3" t="s">
        <v>102</v>
      </c>
      <c r="F264" s="3" t="s">
        <v>166</v>
      </c>
      <c r="G264" s="4" t="s">
        <v>128</v>
      </c>
      <c r="H264" s="7">
        <v>4</v>
      </c>
      <c r="I264" s="4" t="s">
        <v>91</v>
      </c>
      <c r="J264" s="4" t="s">
        <v>797</v>
      </c>
      <c r="K264" s="6"/>
      <c r="L264" s="6"/>
      <c r="M264" s="6"/>
      <c r="N264" s="6"/>
      <c r="P264" s="4" t="s">
        <v>797</v>
      </c>
    </row>
    <row r="265" spans="1:16" x14ac:dyDescent="0.25">
      <c r="A265" s="3" t="str">
        <f t="shared" si="4"/>
        <v>GOGAR62</v>
      </c>
      <c r="B265" s="3" t="s">
        <v>666</v>
      </c>
      <c r="C265" s="3" t="s">
        <v>147</v>
      </c>
      <c r="D265" s="3" t="s">
        <v>103</v>
      </c>
      <c r="E265" s="3" t="s">
        <v>102</v>
      </c>
      <c r="F265" s="3" t="s">
        <v>166</v>
      </c>
      <c r="G265" s="4" t="s">
        <v>447</v>
      </c>
      <c r="H265" s="7">
        <v>2</v>
      </c>
      <c r="I265" s="4" t="s">
        <v>91</v>
      </c>
      <c r="J265" s="4" t="s">
        <v>792</v>
      </c>
      <c r="K265" s="6"/>
      <c r="L265" s="6"/>
      <c r="M265" s="6"/>
      <c r="N265" s="6"/>
      <c r="P265" s="4" t="s">
        <v>792</v>
      </c>
    </row>
    <row r="266" spans="1:16" x14ac:dyDescent="0.25">
      <c r="A266" s="3" t="str">
        <f t="shared" si="4"/>
        <v>HESAR93</v>
      </c>
      <c r="B266" s="3" t="s">
        <v>667</v>
      </c>
      <c r="C266" s="3" t="s">
        <v>147</v>
      </c>
      <c r="D266" s="3" t="s">
        <v>103</v>
      </c>
      <c r="E266" s="3" t="s">
        <v>102</v>
      </c>
      <c r="F266" s="3" t="s">
        <v>166</v>
      </c>
      <c r="G266" s="4" t="s">
        <v>459</v>
      </c>
      <c r="H266" s="7">
        <v>2</v>
      </c>
      <c r="I266" s="4" t="s">
        <v>89</v>
      </c>
      <c r="J266" s="4" t="s">
        <v>792</v>
      </c>
      <c r="K266" s="6"/>
      <c r="L266" s="6"/>
      <c r="M266" s="6"/>
      <c r="N266" s="6"/>
      <c r="P266" s="4" t="s">
        <v>792</v>
      </c>
    </row>
    <row r="267" spans="1:16" x14ac:dyDescent="0.25">
      <c r="A267" s="3" t="str">
        <f t="shared" si="4"/>
        <v>NUSON79</v>
      </c>
      <c r="B267" s="3" t="s">
        <v>58</v>
      </c>
      <c r="C267" s="3" t="s">
        <v>147</v>
      </c>
      <c r="D267" s="3" t="s">
        <v>150</v>
      </c>
      <c r="E267" s="3" t="s">
        <v>102</v>
      </c>
      <c r="F267" s="3" t="s">
        <v>166</v>
      </c>
      <c r="G267" s="4" t="s">
        <v>533</v>
      </c>
      <c r="H267" s="7"/>
      <c r="I267" s="4" t="s">
        <v>89</v>
      </c>
      <c r="J267" s="4" t="s">
        <v>805</v>
      </c>
      <c r="K267" s="6"/>
      <c r="L267" s="6"/>
      <c r="M267" s="6"/>
      <c r="N267" s="6"/>
      <c r="P267" s="4" t="s">
        <v>805</v>
      </c>
    </row>
    <row r="268" spans="1:16" x14ac:dyDescent="0.25">
      <c r="A268" s="3" t="str">
        <f t="shared" si="4"/>
        <v>POARD512</v>
      </c>
      <c r="B268" s="3" t="s">
        <v>62</v>
      </c>
      <c r="C268" s="3" t="s">
        <v>147</v>
      </c>
      <c r="D268" s="3" t="s">
        <v>104</v>
      </c>
      <c r="E268" s="3" t="s">
        <v>102</v>
      </c>
      <c r="F268" s="3" t="s">
        <v>166</v>
      </c>
      <c r="G268" s="4" t="s">
        <v>572</v>
      </c>
      <c r="H268" s="7">
        <v>1</v>
      </c>
      <c r="I268" s="4" t="s">
        <v>90</v>
      </c>
      <c r="J268" s="4" t="s">
        <v>814</v>
      </c>
      <c r="K268" s="6"/>
      <c r="L268" s="6"/>
      <c r="M268" s="6"/>
      <c r="N268" s="6"/>
      <c r="P268" s="4" t="s">
        <v>814</v>
      </c>
    </row>
    <row r="269" spans="1:16" x14ac:dyDescent="0.25">
      <c r="A269" s="3" t="str">
        <f t="shared" si="4"/>
        <v>POMAN812</v>
      </c>
      <c r="B269" s="3" t="s">
        <v>672</v>
      </c>
      <c r="C269" s="3" t="s">
        <v>147</v>
      </c>
      <c r="D269" s="3" t="s">
        <v>105</v>
      </c>
      <c r="E269" s="3" t="s">
        <v>102</v>
      </c>
      <c r="F269" s="3" t="s">
        <v>166</v>
      </c>
      <c r="G269" s="4" t="s">
        <v>573</v>
      </c>
      <c r="H269" s="7">
        <v>4</v>
      </c>
      <c r="I269" s="4" t="s">
        <v>89</v>
      </c>
      <c r="J269" s="4" t="s">
        <v>805</v>
      </c>
      <c r="K269" s="6"/>
      <c r="L269" s="6"/>
      <c r="M269" s="6"/>
      <c r="N269" s="6"/>
      <c r="P269" s="4" t="s">
        <v>805</v>
      </c>
    </row>
    <row r="270" spans="1:16" x14ac:dyDescent="0.25">
      <c r="A270" s="3" t="str">
        <f t="shared" si="4"/>
        <v>QUUAN213</v>
      </c>
      <c r="B270" s="3" t="s">
        <v>673</v>
      </c>
      <c r="C270" s="3" t="s">
        <v>147</v>
      </c>
      <c r="D270" s="3" t="s">
        <v>104</v>
      </c>
      <c r="E270" s="3" t="s">
        <v>102</v>
      </c>
      <c r="F270" s="3" t="s">
        <v>166</v>
      </c>
      <c r="G270" s="4" t="s">
        <v>580</v>
      </c>
      <c r="H270" s="7">
        <v>4</v>
      </c>
      <c r="I270" s="4" t="s">
        <v>89</v>
      </c>
      <c r="J270" s="4" t="s">
        <v>805</v>
      </c>
      <c r="K270" s="6"/>
      <c r="L270" s="6"/>
      <c r="M270" s="6"/>
      <c r="N270" s="6"/>
      <c r="P270" s="4" t="s">
        <v>805</v>
      </c>
    </row>
    <row r="271" spans="1:16" x14ac:dyDescent="0.25">
      <c r="A271" s="3" t="str">
        <f t="shared" si="4"/>
        <v>ROVID416</v>
      </c>
      <c r="B271" s="3" t="s">
        <v>66</v>
      </c>
      <c r="C271" s="3" t="s">
        <v>147</v>
      </c>
      <c r="D271" s="3" t="s">
        <v>150</v>
      </c>
      <c r="E271" s="3" t="s">
        <v>102</v>
      </c>
      <c r="F271" s="3" t="s">
        <v>166</v>
      </c>
      <c r="G271" s="4" t="s">
        <v>624</v>
      </c>
      <c r="H271" s="7">
        <v>2</v>
      </c>
      <c r="I271" s="4" t="s">
        <v>89</v>
      </c>
      <c r="J271" s="4" t="s">
        <v>806</v>
      </c>
      <c r="K271" s="6"/>
      <c r="L271" s="6"/>
      <c r="M271" s="6"/>
      <c r="N271" s="6"/>
      <c r="P271" s="4" t="s">
        <v>806</v>
      </c>
    </row>
    <row r="272" spans="1:16" x14ac:dyDescent="0.25">
      <c r="A272" s="3" t="str">
        <f t="shared" si="4"/>
        <v>SAMAN1117</v>
      </c>
      <c r="B272" s="3" t="s">
        <v>677</v>
      </c>
      <c r="C272" s="3" t="s">
        <v>147</v>
      </c>
      <c r="D272" s="3" t="s">
        <v>105</v>
      </c>
      <c r="E272" s="3" t="s">
        <v>102</v>
      </c>
      <c r="F272" s="3" t="s">
        <v>166</v>
      </c>
      <c r="G272" s="4" t="s">
        <v>641</v>
      </c>
      <c r="H272" s="7">
        <v>1</v>
      </c>
      <c r="I272" s="4" t="s">
        <v>89</v>
      </c>
      <c r="J272" s="4" t="s">
        <v>806</v>
      </c>
      <c r="K272" s="6"/>
      <c r="L272" s="6"/>
      <c r="M272" s="6"/>
      <c r="N272" s="6"/>
      <c r="P272" s="4" t="s">
        <v>806</v>
      </c>
    </row>
    <row r="273" spans="1:16" x14ac:dyDescent="0.25">
      <c r="A273" s="3" t="str">
        <f t="shared" si="4"/>
        <v>AGRCY11</v>
      </c>
      <c r="B273" s="3" t="s">
        <v>70</v>
      </c>
      <c r="C273" s="3" t="s">
        <v>147</v>
      </c>
      <c r="D273" s="3" t="s">
        <v>150</v>
      </c>
      <c r="E273" s="3" t="s">
        <v>99</v>
      </c>
      <c r="F273" s="3" t="s">
        <v>151</v>
      </c>
      <c r="G273" s="4" t="s">
        <v>112</v>
      </c>
      <c r="H273" s="7">
        <v>1</v>
      </c>
      <c r="I273" s="4" t="s">
        <v>89</v>
      </c>
      <c r="J273" s="4" t="s">
        <v>793</v>
      </c>
      <c r="K273" s="6"/>
      <c r="L273" s="6"/>
      <c r="M273" s="6"/>
      <c r="N273" s="6"/>
      <c r="P273" s="4" t="s">
        <v>793</v>
      </c>
    </row>
    <row r="274" spans="1:16" x14ac:dyDescent="0.25">
      <c r="A274" s="3" t="str">
        <f t="shared" si="4"/>
        <v>AINIO11</v>
      </c>
      <c r="B274" s="3" t="s">
        <v>71</v>
      </c>
      <c r="C274" s="3" t="s">
        <v>147</v>
      </c>
      <c r="D274" s="3" t="s">
        <v>150</v>
      </c>
      <c r="E274" s="3" t="s">
        <v>99</v>
      </c>
      <c r="F274" s="3" t="s">
        <v>151</v>
      </c>
      <c r="G274" s="4" t="s">
        <v>112</v>
      </c>
      <c r="H274" s="7">
        <v>1</v>
      </c>
      <c r="I274" s="4" t="s">
        <v>89</v>
      </c>
      <c r="J274" s="4" t="s">
        <v>793</v>
      </c>
      <c r="K274" s="6"/>
      <c r="L274" s="6"/>
      <c r="M274" s="6"/>
      <c r="N274" s="6"/>
      <c r="P274" s="4" t="s">
        <v>793</v>
      </c>
    </row>
    <row r="275" spans="1:16" x14ac:dyDescent="0.25">
      <c r="A275" s="3" t="str">
        <f t="shared" si="4"/>
        <v>CHUIS51</v>
      </c>
      <c r="B275" s="3" t="s">
        <v>203</v>
      </c>
      <c r="C275" s="3" t="s">
        <v>147</v>
      </c>
      <c r="D275" s="3" t="s">
        <v>150</v>
      </c>
      <c r="E275" s="3" t="s">
        <v>99</v>
      </c>
      <c r="F275" s="3" t="s">
        <v>151</v>
      </c>
      <c r="G275" s="4" t="s">
        <v>133</v>
      </c>
      <c r="H275" s="7"/>
      <c r="I275" s="4" t="s">
        <v>89</v>
      </c>
      <c r="J275" s="4" t="s">
        <v>811</v>
      </c>
      <c r="K275" s="6"/>
      <c r="L275" s="6"/>
      <c r="M275" s="6"/>
      <c r="N275" s="6"/>
      <c r="P275" s="4" t="s">
        <v>811</v>
      </c>
    </row>
    <row r="276" spans="1:16" x14ac:dyDescent="0.25">
      <c r="A276" s="3" t="str">
        <f t="shared" si="4"/>
        <v>DOAAC91</v>
      </c>
      <c r="B276" s="3" t="s">
        <v>231</v>
      </c>
      <c r="C276" s="3" t="s">
        <v>147</v>
      </c>
      <c r="D276" s="3" t="s">
        <v>150</v>
      </c>
      <c r="E276" s="3" t="s">
        <v>99</v>
      </c>
      <c r="F276" s="3" t="s">
        <v>151</v>
      </c>
      <c r="G276" s="4" t="s">
        <v>429</v>
      </c>
      <c r="H276" s="7">
        <v>2</v>
      </c>
      <c r="I276" s="4" t="s">
        <v>89</v>
      </c>
      <c r="J276" s="4" t="s">
        <v>813</v>
      </c>
      <c r="K276" s="6"/>
      <c r="L276" s="6"/>
      <c r="M276" s="6"/>
      <c r="N276" s="6"/>
      <c r="P276" s="4" t="s">
        <v>813</v>
      </c>
    </row>
    <row r="277" spans="1:16" x14ac:dyDescent="0.25">
      <c r="A277" s="3" t="str">
        <f t="shared" si="4"/>
        <v>JATOR56</v>
      </c>
      <c r="B277" s="3" t="s">
        <v>727</v>
      </c>
      <c r="C277" s="3" t="s">
        <v>147</v>
      </c>
      <c r="D277" s="3" t="s">
        <v>150</v>
      </c>
      <c r="E277" s="3" t="s">
        <v>99</v>
      </c>
      <c r="F277" s="3" t="s">
        <v>151</v>
      </c>
      <c r="G277" s="4" t="s">
        <v>493</v>
      </c>
      <c r="H277" s="7">
        <v>2</v>
      </c>
      <c r="I277" s="4" t="s">
        <v>91</v>
      </c>
      <c r="J277" s="4" t="s">
        <v>794</v>
      </c>
      <c r="K277" s="6"/>
      <c r="L277" s="6"/>
      <c r="M277" s="6"/>
      <c r="N277" s="6"/>
      <c r="P277" s="4" t="s">
        <v>794</v>
      </c>
    </row>
    <row r="278" spans="1:16" x14ac:dyDescent="0.25">
      <c r="A278" s="3" t="str">
        <f t="shared" si="4"/>
        <v>LAAUL86</v>
      </c>
      <c r="B278" s="3" t="s">
        <v>731</v>
      </c>
      <c r="C278" s="3" t="s">
        <v>147</v>
      </c>
      <c r="D278" s="3" t="s">
        <v>150</v>
      </c>
      <c r="E278" s="3" t="s">
        <v>99</v>
      </c>
      <c r="F278" s="3" t="s">
        <v>151</v>
      </c>
      <c r="G278" s="4" t="s">
        <v>497</v>
      </c>
      <c r="H278" s="7"/>
      <c r="I278" s="4" t="s">
        <v>90</v>
      </c>
      <c r="J278" s="4" t="s">
        <v>794</v>
      </c>
      <c r="K278" s="6"/>
      <c r="L278" s="6"/>
      <c r="M278" s="6"/>
      <c r="N278" s="6"/>
      <c r="P278" s="4" t="s">
        <v>794</v>
      </c>
    </row>
    <row r="279" spans="1:16" x14ac:dyDescent="0.25">
      <c r="A279" s="3" t="str">
        <f t="shared" si="4"/>
        <v>RONDO217</v>
      </c>
      <c r="B279" s="3" t="s">
        <v>412</v>
      </c>
      <c r="C279" s="3" t="s">
        <v>147</v>
      </c>
      <c r="D279" s="3" t="s">
        <v>150</v>
      </c>
      <c r="E279" s="3" t="s">
        <v>99</v>
      </c>
      <c r="F279" s="3" t="s">
        <v>151</v>
      </c>
      <c r="G279" s="4" t="s">
        <v>632</v>
      </c>
      <c r="H279" s="7">
        <v>3</v>
      </c>
      <c r="I279" s="4" t="s">
        <v>89</v>
      </c>
      <c r="J279" s="4" t="s">
        <v>794</v>
      </c>
      <c r="K279" s="6"/>
      <c r="L279" s="6"/>
      <c r="M279" s="6"/>
      <c r="N279" s="6"/>
      <c r="P279" s="4" t="s">
        <v>794</v>
      </c>
    </row>
    <row r="280" spans="1:16" x14ac:dyDescent="0.25">
      <c r="A280" s="3" t="str">
        <f t="shared" si="4"/>
        <v>SATON517</v>
      </c>
      <c r="B280" s="3" t="s">
        <v>416</v>
      </c>
      <c r="C280" s="3" t="s">
        <v>147</v>
      </c>
      <c r="D280" s="3" t="s">
        <v>150</v>
      </c>
      <c r="E280" s="3" t="s">
        <v>99</v>
      </c>
      <c r="F280" s="3" t="s">
        <v>151</v>
      </c>
      <c r="G280" s="4" t="s">
        <v>636</v>
      </c>
      <c r="H280" s="7">
        <v>1</v>
      </c>
      <c r="I280" s="4" t="s">
        <v>89</v>
      </c>
      <c r="J280" s="4" t="s">
        <v>794</v>
      </c>
      <c r="K280" s="6"/>
      <c r="L280" s="6"/>
      <c r="M280" s="6"/>
      <c r="N280" s="6"/>
      <c r="P280" s="4" t="s">
        <v>794</v>
      </c>
    </row>
    <row r="281" spans="1:16" x14ac:dyDescent="0.25">
      <c r="A281" s="3" t="str">
        <f t="shared" si="4"/>
        <v>MEUEL48</v>
      </c>
      <c r="B281" s="3" t="s">
        <v>334</v>
      </c>
      <c r="C281" s="3" t="s">
        <v>147</v>
      </c>
      <c r="D281" s="3" t="s">
        <v>105</v>
      </c>
      <c r="E281" s="3" t="s">
        <v>99</v>
      </c>
      <c r="F281" s="3" t="s">
        <v>335</v>
      </c>
      <c r="G281" s="4" t="s">
        <v>521</v>
      </c>
      <c r="H281" s="7">
        <v>1</v>
      </c>
      <c r="I281" s="4" t="s">
        <v>91</v>
      </c>
      <c r="J281" s="4" t="s">
        <v>794</v>
      </c>
      <c r="K281" s="6"/>
      <c r="L281" s="6"/>
      <c r="M281" s="6"/>
      <c r="N281" s="6"/>
      <c r="P281" s="4" t="s">
        <v>794</v>
      </c>
    </row>
    <row r="282" spans="1:16" x14ac:dyDescent="0.25">
      <c r="A282" s="3" t="str">
        <f t="shared" si="4"/>
        <v>OLUEL110</v>
      </c>
      <c r="B282" s="3" t="s">
        <v>344</v>
      </c>
      <c r="C282" s="3" t="s">
        <v>147</v>
      </c>
      <c r="D282" s="3" t="s">
        <v>105</v>
      </c>
      <c r="E282" s="3" t="s">
        <v>99</v>
      </c>
      <c r="F282" s="3" t="s">
        <v>335</v>
      </c>
      <c r="G282" s="4" t="s">
        <v>537</v>
      </c>
      <c r="H282" s="7">
        <v>4</v>
      </c>
      <c r="I282" s="4" t="s">
        <v>89</v>
      </c>
      <c r="J282" s="4" t="s">
        <v>794</v>
      </c>
      <c r="K282" s="6"/>
      <c r="L282" s="6"/>
      <c r="M282" s="6"/>
      <c r="N282" s="6"/>
      <c r="P282" s="4" t="s">
        <v>794</v>
      </c>
    </row>
    <row r="283" spans="1:16" x14ac:dyDescent="0.25">
      <c r="A283" s="3" t="str">
        <f t="shared" si="4"/>
        <v>ORITO310</v>
      </c>
      <c r="B283" s="3" t="s">
        <v>346</v>
      </c>
      <c r="C283" s="3" t="s">
        <v>147</v>
      </c>
      <c r="D283" s="3" t="s">
        <v>105</v>
      </c>
      <c r="E283" s="3" t="s">
        <v>99</v>
      </c>
      <c r="F283" s="3" t="s">
        <v>335</v>
      </c>
      <c r="G283" s="4" t="s">
        <v>541</v>
      </c>
      <c r="H283" s="7">
        <v>2</v>
      </c>
      <c r="I283" s="4" t="s">
        <v>91</v>
      </c>
      <c r="J283" s="4" t="s">
        <v>794</v>
      </c>
      <c r="K283" s="6"/>
      <c r="L283" s="6"/>
      <c r="M283" s="6"/>
      <c r="N283" s="6"/>
      <c r="P283" s="4" t="s">
        <v>794</v>
      </c>
    </row>
    <row r="284" spans="1:16" x14ac:dyDescent="0.25">
      <c r="A284" s="3" t="str">
        <f t="shared" si="4"/>
        <v>COUGO71</v>
      </c>
      <c r="B284" s="3" t="s">
        <v>215</v>
      </c>
      <c r="C284" s="3" t="s">
        <v>147</v>
      </c>
      <c r="D284" s="3" t="s">
        <v>105</v>
      </c>
      <c r="E284" s="3" t="s">
        <v>99</v>
      </c>
      <c r="F284" s="3" t="s">
        <v>216</v>
      </c>
      <c r="G284" s="4" t="s">
        <v>142</v>
      </c>
      <c r="H284" s="7">
        <v>1</v>
      </c>
      <c r="I284" s="4" t="s">
        <v>89</v>
      </c>
      <c r="J284" s="4" t="s">
        <v>813</v>
      </c>
      <c r="K284" s="6"/>
      <c r="L284" s="6"/>
      <c r="M284" s="6"/>
      <c r="N284" s="6"/>
      <c r="P284" s="4" t="s">
        <v>813</v>
      </c>
    </row>
    <row r="285" spans="1:16" x14ac:dyDescent="0.25">
      <c r="A285" s="3" t="str">
        <f t="shared" si="4"/>
        <v>HICKY123</v>
      </c>
      <c r="B285" s="3" t="s">
        <v>718</v>
      </c>
      <c r="C285" s="3" t="s">
        <v>147</v>
      </c>
      <c r="D285" s="3" t="s">
        <v>105</v>
      </c>
      <c r="E285" s="3" t="s">
        <v>99</v>
      </c>
      <c r="F285" s="3" t="s">
        <v>216</v>
      </c>
      <c r="G285" s="4" t="s">
        <v>461</v>
      </c>
      <c r="H285" s="7"/>
      <c r="I285" s="4" t="s">
        <v>90</v>
      </c>
      <c r="J285" s="4" t="s">
        <v>813</v>
      </c>
      <c r="K285" s="6"/>
      <c r="L285" s="6"/>
      <c r="M285" s="6"/>
      <c r="N285" s="6"/>
      <c r="P285" s="4" t="s">
        <v>813</v>
      </c>
    </row>
    <row r="286" spans="1:16" x14ac:dyDescent="0.25">
      <c r="A286" s="3" t="str">
        <f t="shared" si="4"/>
        <v>HUDRO35</v>
      </c>
      <c r="B286" s="3" t="s">
        <v>281</v>
      </c>
      <c r="C286" s="3" t="s">
        <v>147</v>
      </c>
      <c r="D286" s="3" t="s">
        <v>105</v>
      </c>
      <c r="E286" s="3" t="s">
        <v>99</v>
      </c>
      <c r="F286" s="3" t="s">
        <v>216</v>
      </c>
      <c r="G286" s="4" t="s">
        <v>473</v>
      </c>
      <c r="H286" s="7">
        <v>2</v>
      </c>
      <c r="I286" s="4" t="s">
        <v>90</v>
      </c>
      <c r="J286" s="4" t="s">
        <v>813</v>
      </c>
      <c r="K286" s="6"/>
      <c r="L286" s="6"/>
      <c r="M286" s="6"/>
      <c r="N286" s="6"/>
      <c r="P286" s="4" t="s">
        <v>813</v>
      </c>
    </row>
    <row r="287" spans="1:16" x14ac:dyDescent="0.25">
      <c r="A287" s="3" t="str">
        <f t="shared" si="4"/>
        <v>HUUAN95</v>
      </c>
      <c r="B287" s="3" t="s">
        <v>293</v>
      </c>
      <c r="C287" s="3" t="s">
        <v>147</v>
      </c>
      <c r="D287" s="3" t="s">
        <v>105</v>
      </c>
      <c r="E287" s="3" t="s">
        <v>99</v>
      </c>
      <c r="F287" s="3" t="s">
        <v>216</v>
      </c>
      <c r="G287" s="4" t="s">
        <v>483</v>
      </c>
      <c r="H287" s="7"/>
      <c r="I287" s="4" t="s">
        <v>89</v>
      </c>
      <c r="J287" s="4" t="s">
        <v>813</v>
      </c>
      <c r="K287" s="6"/>
      <c r="L287" s="6"/>
      <c r="M287" s="6"/>
      <c r="N287" s="6"/>
      <c r="P287" s="4" t="s">
        <v>813</v>
      </c>
    </row>
    <row r="288" spans="1:16" x14ac:dyDescent="0.25">
      <c r="A288" s="3" t="str">
        <f t="shared" si="4"/>
        <v>MAIER77</v>
      </c>
      <c r="B288" s="3" t="s">
        <v>739</v>
      </c>
      <c r="C288" s="3" t="s">
        <v>147</v>
      </c>
      <c r="D288" s="3" t="s">
        <v>105</v>
      </c>
      <c r="E288" s="3" t="s">
        <v>99</v>
      </c>
      <c r="F288" s="3" t="s">
        <v>216</v>
      </c>
      <c r="G288" s="4" t="s">
        <v>512</v>
      </c>
      <c r="H288" s="7"/>
      <c r="I288" s="4" t="s">
        <v>89</v>
      </c>
      <c r="J288" s="4" t="s">
        <v>793</v>
      </c>
      <c r="K288" s="6"/>
      <c r="L288" s="6"/>
      <c r="M288" s="6"/>
      <c r="N288" s="6"/>
      <c r="P288" s="4" t="s">
        <v>793</v>
      </c>
    </row>
    <row r="289" spans="1:16" x14ac:dyDescent="0.25">
      <c r="A289" s="3" t="str">
        <f t="shared" si="4"/>
        <v>MEBEN117</v>
      </c>
      <c r="B289" s="3" t="s">
        <v>331</v>
      </c>
      <c r="C289" s="3" t="s">
        <v>147</v>
      </c>
      <c r="D289" s="3" t="s">
        <v>105</v>
      </c>
      <c r="E289" s="3" t="s">
        <v>99</v>
      </c>
      <c r="F289" s="3" t="s">
        <v>216</v>
      </c>
      <c r="G289" s="4" t="s">
        <v>515</v>
      </c>
      <c r="H289" s="7">
        <v>3</v>
      </c>
      <c r="I289" s="4" t="s">
        <v>89</v>
      </c>
      <c r="J289" s="4" t="s">
        <v>813</v>
      </c>
      <c r="K289" s="6"/>
      <c r="L289" s="6"/>
      <c r="M289" s="6"/>
      <c r="N289" s="6"/>
      <c r="P289" s="4" t="s">
        <v>813</v>
      </c>
    </row>
    <row r="290" spans="1:16" x14ac:dyDescent="0.25">
      <c r="A290" s="3" t="str">
        <f t="shared" si="4"/>
        <v>PASTO910</v>
      </c>
      <c r="B290" s="3" t="s">
        <v>763</v>
      </c>
      <c r="C290" s="3" t="s">
        <v>147</v>
      </c>
      <c r="D290" s="3" t="s">
        <v>105</v>
      </c>
      <c r="E290" s="3" t="s">
        <v>99</v>
      </c>
      <c r="F290" s="3" t="s">
        <v>216</v>
      </c>
      <c r="G290" s="4" t="s">
        <v>550</v>
      </c>
      <c r="H290" s="7">
        <v>2</v>
      </c>
      <c r="I290" s="4" t="s">
        <v>89</v>
      </c>
      <c r="J290" s="4" t="s">
        <v>813</v>
      </c>
      <c r="K290" s="6"/>
      <c r="L290" s="6"/>
      <c r="M290" s="6"/>
      <c r="N290" s="6"/>
      <c r="P290" s="4" t="s">
        <v>813</v>
      </c>
    </row>
    <row r="291" spans="1:16" x14ac:dyDescent="0.25">
      <c r="A291" s="3" t="str">
        <f t="shared" si="4"/>
        <v>RAAAC314</v>
      </c>
      <c r="B291" s="3" t="s">
        <v>382</v>
      </c>
      <c r="C291" s="3" t="s">
        <v>147</v>
      </c>
      <c r="D291" s="3" t="s">
        <v>105</v>
      </c>
      <c r="E291" s="3" t="s">
        <v>99</v>
      </c>
      <c r="F291" s="3" t="s">
        <v>216</v>
      </c>
      <c r="G291" s="4" t="s">
        <v>592</v>
      </c>
      <c r="H291" s="7">
        <v>2</v>
      </c>
      <c r="I291" s="4" t="s">
        <v>89</v>
      </c>
      <c r="J291" s="4" t="s">
        <v>813</v>
      </c>
      <c r="K291" s="6"/>
      <c r="L291" s="6"/>
      <c r="M291" s="6"/>
      <c r="N291" s="6"/>
      <c r="P291" s="4" t="s">
        <v>813</v>
      </c>
    </row>
    <row r="292" spans="1:16" x14ac:dyDescent="0.25">
      <c r="A292" s="3" t="str">
        <f t="shared" si="4"/>
        <v>AGUGO11</v>
      </c>
      <c r="B292" s="3" t="s">
        <v>69</v>
      </c>
      <c r="C292" s="3" t="s">
        <v>147</v>
      </c>
      <c r="D292" s="3" t="s">
        <v>104</v>
      </c>
      <c r="E292" s="3" t="s">
        <v>99</v>
      </c>
      <c r="F292" s="3" t="s">
        <v>149</v>
      </c>
      <c r="G292" s="4" t="s">
        <v>111</v>
      </c>
      <c r="H292" s="7">
        <v>4</v>
      </c>
      <c r="I292" s="4" t="s">
        <v>89</v>
      </c>
      <c r="J292" s="4" t="s">
        <v>793</v>
      </c>
      <c r="K292" s="6"/>
      <c r="L292" s="6"/>
      <c r="M292" s="6"/>
      <c r="N292" s="6"/>
      <c r="P292" s="4" t="s">
        <v>793</v>
      </c>
    </row>
    <row r="293" spans="1:16" x14ac:dyDescent="0.25">
      <c r="A293" s="3" t="str">
        <f t="shared" si="4"/>
        <v>BLNIO41</v>
      </c>
      <c r="B293" s="3" t="s">
        <v>184</v>
      </c>
      <c r="C293" s="3" t="s">
        <v>147</v>
      </c>
      <c r="D293" s="3" t="s">
        <v>105</v>
      </c>
      <c r="E293" s="3" t="s">
        <v>99</v>
      </c>
      <c r="F293" s="3" t="s">
        <v>149</v>
      </c>
      <c r="G293" s="4" t="s">
        <v>129</v>
      </c>
      <c r="H293" s="7"/>
      <c r="I293" s="4" t="s">
        <v>92</v>
      </c>
      <c r="J293" s="4" t="s">
        <v>811</v>
      </c>
      <c r="K293" s="6"/>
      <c r="L293" s="6"/>
      <c r="M293" s="6"/>
      <c r="N293" s="6"/>
      <c r="P293" s="4" t="s">
        <v>811</v>
      </c>
    </row>
    <row r="294" spans="1:16" x14ac:dyDescent="0.25">
      <c r="A294" s="3" t="str">
        <f t="shared" si="4"/>
        <v>BUBEN41</v>
      </c>
      <c r="B294" s="3" t="s">
        <v>189</v>
      </c>
      <c r="C294" s="3" t="s">
        <v>147</v>
      </c>
      <c r="D294" s="3" t="s">
        <v>103</v>
      </c>
      <c r="E294" s="3" t="s">
        <v>99</v>
      </c>
      <c r="F294" s="3" t="s">
        <v>149</v>
      </c>
      <c r="G294" s="4" t="s">
        <v>130</v>
      </c>
      <c r="H294" s="7">
        <v>4</v>
      </c>
      <c r="I294" s="4" t="s">
        <v>89</v>
      </c>
      <c r="J294" s="4" t="s">
        <v>793</v>
      </c>
      <c r="K294" s="6"/>
      <c r="L294" s="6"/>
      <c r="M294" s="6"/>
      <c r="N294" s="6"/>
      <c r="P294" s="4" t="s">
        <v>793</v>
      </c>
    </row>
    <row r="295" spans="1:16" x14ac:dyDescent="0.25">
      <c r="A295" s="3" t="str">
        <f t="shared" si="4"/>
        <v>CHTOR51</v>
      </c>
      <c r="B295" s="3" t="s">
        <v>697</v>
      </c>
      <c r="C295" s="3" t="s">
        <v>147</v>
      </c>
      <c r="D295" s="3" t="s">
        <v>103</v>
      </c>
      <c r="E295" s="3" t="s">
        <v>99</v>
      </c>
      <c r="F295" s="3" t="s">
        <v>149</v>
      </c>
      <c r="G295" s="4" t="s">
        <v>132</v>
      </c>
      <c r="H295" s="7">
        <v>1</v>
      </c>
      <c r="I295" s="4" t="s">
        <v>89</v>
      </c>
      <c r="J295" s="4" t="s">
        <v>797</v>
      </c>
      <c r="K295" s="6"/>
      <c r="L295" s="6"/>
      <c r="M295" s="6"/>
      <c r="N295" s="6"/>
      <c r="P295" s="4" t="s">
        <v>797</v>
      </c>
    </row>
    <row r="296" spans="1:16" x14ac:dyDescent="0.25">
      <c r="A296" s="3" t="str">
        <f t="shared" si="4"/>
        <v>CORIO61</v>
      </c>
      <c r="B296" s="3" t="s">
        <v>211</v>
      </c>
      <c r="C296" s="3" t="s">
        <v>147</v>
      </c>
      <c r="D296" s="3" t="s">
        <v>103</v>
      </c>
      <c r="E296" s="3" t="s">
        <v>99</v>
      </c>
      <c r="F296" s="3" t="s">
        <v>149</v>
      </c>
      <c r="G296" s="4" t="s">
        <v>137</v>
      </c>
      <c r="H296" s="7">
        <v>2</v>
      </c>
      <c r="I296" s="4" t="s">
        <v>90</v>
      </c>
      <c r="J296" s="4" t="s">
        <v>811</v>
      </c>
      <c r="K296" s="6"/>
      <c r="L296" s="6"/>
      <c r="M296" s="6"/>
      <c r="N296" s="6"/>
      <c r="P296" s="4" t="s">
        <v>811</v>
      </c>
    </row>
    <row r="297" spans="1:16" x14ac:dyDescent="0.25">
      <c r="A297" s="3" t="str">
        <f t="shared" si="4"/>
        <v>DENIO81</v>
      </c>
      <c r="B297" s="3" t="s">
        <v>707</v>
      </c>
      <c r="C297" s="3" t="s">
        <v>147</v>
      </c>
      <c r="D297" s="3" t="s">
        <v>104</v>
      </c>
      <c r="E297" s="3" t="s">
        <v>99</v>
      </c>
      <c r="F297" s="3" t="s">
        <v>149</v>
      </c>
      <c r="G297" s="4" t="s">
        <v>426</v>
      </c>
      <c r="H297" s="7">
        <v>1</v>
      </c>
      <c r="I297" s="4" t="s">
        <v>89</v>
      </c>
      <c r="J297" s="4" t="s">
        <v>813</v>
      </c>
      <c r="K297" s="6"/>
      <c r="L297" s="6"/>
      <c r="M297" s="6"/>
      <c r="N297" s="6"/>
      <c r="P297" s="4" t="s">
        <v>813</v>
      </c>
    </row>
    <row r="298" spans="1:16" x14ac:dyDescent="0.25">
      <c r="A298" s="3" t="str">
        <f t="shared" si="4"/>
        <v>DIENS81</v>
      </c>
      <c r="B298" s="3" t="s">
        <v>229</v>
      </c>
      <c r="C298" s="3" t="s">
        <v>147</v>
      </c>
      <c r="D298" s="3" t="s">
        <v>103</v>
      </c>
      <c r="E298" s="3" t="s">
        <v>99</v>
      </c>
      <c r="F298" s="3" t="s">
        <v>149</v>
      </c>
      <c r="G298" s="4" t="s">
        <v>428</v>
      </c>
      <c r="H298" s="7">
        <v>1</v>
      </c>
      <c r="I298" s="4" t="s">
        <v>90</v>
      </c>
      <c r="J298" s="4" t="s">
        <v>813</v>
      </c>
      <c r="K298" s="6"/>
      <c r="L298" s="6"/>
      <c r="M298" s="6"/>
      <c r="N298" s="6"/>
      <c r="P298" s="4" t="s">
        <v>813</v>
      </c>
    </row>
    <row r="299" spans="1:16" x14ac:dyDescent="0.25">
      <c r="A299" s="3" t="str">
        <f t="shared" si="4"/>
        <v>EGRDO91</v>
      </c>
      <c r="B299" s="3" t="s">
        <v>709</v>
      </c>
      <c r="C299" s="3" t="s">
        <v>147</v>
      </c>
      <c r="D299" s="3" t="s">
        <v>105</v>
      </c>
      <c r="E299" s="3" t="s">
        <v>99</v>
      </c>
      <c r="F299" s="3" t="s">
        <v>149</v>
      </c>
      <c r="G299" s="4" t="s">
        <v>431</v>
      </c>
      <c r="H299" s="7">
        <v>3</v>
      </c>
      <c r="I299" s="4" t="s">
        <v>90</v>
      </c>
      <c r="J299" s="4" t="s">
        <v>813</v>
      </c>
      <c r="K299" s="6"/>
      <c r="L299" s="6"/>
      <c r="M299" s="6"/>
      <c r="N299" s="6"/>
      <c r="P299" s="4" t="s">
        <v>813</v>
      </c>
    </row>
    <row r="300" spans="1:16" x14ac:dyDescent="0.25">
      <c r="A300" s="3" t="str">
        <f t="shared" si="4"/>
        <v>HUVID114</v>
      </c>
      <c r="B300" s="3" t="s">
        <v>280</v>
      </c>
      <c r="C300" s="3" t="s">
        <v>147</v>
      </c>
      <c r="D300" s="3" t="s">
        <v>105</v>
      </c>
      <c r="E300" s="3" t="s">
        <v>99</v>
      </c>
      <c r="F300" s="3" t="s">
        <v>149</v>
      </c>
      <c r="G300" s="4" t="s">
        <v>472</v>
      </c>
      <c r="H300" s="7">
        <v>4</v>
      </c>
      <c r="I300" s="4" t="s">
        <v>91</v>
      </c>
      <c r="J300" s="4" t="s">
        <v>794</v>
      </c>
      <c r="K300" s="6"/>
      <c r="L300" s="6"/>
      <c r="M300" s="6"/>
      <c r="N300" s="6"/>
      <c r="P300" s="4" t="s">
        <v>794</v>
      </c>
    </row>
    <row r="301" spans="1:16" x14ac:dyDescent="0.25">
      <c r="A301" s="3" t="str">
        <f t="shared" si="4"/>
        <v>LERTO126</v>
      </c>
      <c r="B301" s="3" t="s">
        <v>312</v>
      </c>
      <c r="C301" s="3" t="s">
        <v>147</v>
      </c>
      <c r="D301" s="3" t="s">
        <v>105</v>
      </c>
      <c r="E301" s="3" t="s">
        <v>99</v>
      </c>
      <c r="F301" s="3" t="s">
        <v>149</v>
      </c>
      <c r="G301" s="4" t="s">
        <v>501</v>
      </c>
      <c r="H301" s="7">
        <v>1</v>
      </c>
      <c r="I301" s="4" t="s">
        <v>89</v>
      </c>
      <c r="J301" s="4" t="s">
        <v>794</v>
      </c>
      <c r="K301" s="6"/>
      <c r="L301" s="6"/>
      <c r="M301" s="6"/>
      <c r="N301" s="6"/>
      <c r="P301" s="4" t="s">
        <v>794</v>
      </c>
    </row>
    <row r="302" spans="1:16" x14ac:dyDescent="0.25">
      <c r="A302" s="3" t="str">
        <f t="shared" si="4"/>
        <v>MAOSE47</v>
      </c>
      <c r="B302" s="3" t="s">
        <v>322</v>
      </c>
      <c r="C302" s="3" t="s">
        <v>147</v>
      </c>
      <c r="D302" s="3" t="s">
        <v>103</v>
      </c>
      <c r="E302" s="3" t="s">
        <v>99</v>
      </c>
      <c r="F302" s="3" t="s">
        <v>149</v>
      </c>
      <c r="G302" s="4" t="s">
        <v>507</v>
      </c>
      <c r="H302" s="7"/>
      <c r="I302" s="4" t="s">
        <v>90</v>
      </c>
      <c r="J302" s="4" t="s">
        <v>793</v>
      </c>
      <c r="K302" s="6"/>
      <c r="L302" s="6"/>
      <c r="M302" s="6"/>
      <c r="N302" s="6"/>
      <c r="P302" s="4" t="s">
        <v>793</v>
      </c>
    </row>
    <row r="303" spans="1:16" x14ac:dyDescent="0.25">
      <c r="A303" s="3" t="str">
        <f t="shared" si="4"/>
        <v>MELIO97</v>
      </c>
      <c r="B303" s="3" t="s">
        <v>330</v>
      </c>
      <c r="C303" s="3" t="s">
        <v>147</v>
      </c>
      <c r="D303" s="3" t="s">
        <v>103</v>
      </c>
      <c r="E303" s="3" t="s">
        <v>99</v>
      </c>
      <c r="F303" s="3" t="s">
        <v>149</v>
      </c>
      <c r="G303" s="4" t="s">
        <v>514</v>
      </c>
      <c r="H303" s="7">
        <v>1</v>
      </c>
      <c r="I303" s="4" t="s">
        <v>89</v>
      </c>
      <c r="J303" s="4" t="s">
        <v>794</v>
      </c>
      <c r="K303" s="6"/>
      <c r="L303" s="6"/>
      <c r="M303" s="6"/>
      <c r="N303" s="6"/>
      <c r="P303" s="4" t="s">
        <v>794</v>
      </c>
    </row>
    <row r="304" spans="1:16" x14ac:dyDescent="0.25">
      <c r="A304" s="3" t="str">
        <f t="shared" si="4"/>
        <v>MOSIT59</v>
      </c>
      <c r="B304" s="3" t="s">
        <v>746</v>
      </c>
      <c r="C304" s="3" t="s">
        <v>147</v>
      </c>
      <c r="D304" s="3" t="s">
        <v>103</v>
      </c>
      <c r="E304" s="3" t="s">
        <v>99</v>
      </c>
      <c r="F304" s="3" t="s">
        <v>149</v>
      </c>
      <c r="G304" s="4" t="s">
        <v>529</v>
      </c>
      <c r="H304" s="7">
        <v>1</v>
      </c>
      <c r="I304" s="4" t="s">
        <v>89</v>
      </c>
      <c r="J304" s="4" t="s">
        <v>794</v>
      </c>
      <c r="K304" s="6"/>
      <c r="L304" s="6"/>
      <c r="M304" s="6"/>
      <c r="N304" s="6"/>
      <c r="P304" s="4" t="s">
        <v>794</v>
      </c>
    </row>
    <row r="305" spans="1:16" x14ac:dyDescent="0.25">
      <c r="A305" s="3" t="str">
        <f t="shared" si="4"/>
        <v>NEIAN59</v>
      </c>
      <c r="B305" s="3" t="s">
        <v>340</v>
      </c>
      <c r="C305" s="3" t="s">
        <v>147</v>
      </c>
      <c r="D305" s="3" t="s">
        <v>104</v>
      </c>
      <c r="E305" s="3" t="s">
        <v>99</v>
      </c>
      <c r="F305" s="3" t="s">
        <v>149</v>
      </c>
      <c r="G305" s="4" t="s">
        <v>529</v>
      </c>
      <c r="H305" s="7">
        <v>1</v>
      </c>
      <c r="I305" s="4" t="s">
        <v>90</v>
      </c>
      <c r="J305" s="4" t="s">
        <v>794</v>
      </c>
      <c r="K305" s="6"/>
      <c r="L305" s="6"/>
      <c r="M305" s="6"/>
      <c r="N305" s="6"/>
      <c r="P305" s="4" t="s">
        <v>794</v>
      </c>
    </row>
    <row r="306" spans="1:16" x14ac:dyDescent="0.25">
      <c r="A306" s="3" t="str">
        <f t="shared" si="4"/>
        <v>NOIER79</v>
      </c>
      <c r="B306" s="3" t="s">
        <v>342</v>
      </c>
      <c r="C306" s="3" t="s">
        <v>147</v>
      </c>
      <c r="D306" s="3" t="s">
        <v>103</v>
      </c>
      <c r="E306" s="3" t="s">
        <v>99</v>
      </c>
      <c r="F306" s="3" t="s">
        <v>149</v>
      </c>
      <c r="G306" s="4" t="s">
        <v>531</v>
      </c>
      <c r="H306" s="7">
        <v>2</v>
      </c>
      <c r="I306" s="4" t="s">
        <v>91</v>
      </c>
      <c r="J306" s="4" t="s">
        <v>794</v>
      </c>
      <c r="K306" s="6"/>
      <c r="L306" s="6"/>
      <c r="M306" s="6"/>
      <c r="N306" s="6"/>
      <c r="P306" s="4" t="s">
        <v>794</v>
      </c>
    </row>
    <row r="307" spans="1:16" x14ac:dyDescent="0.25">
      <c r="A307" s="3" t="str">
        <f t="shared" si="4"/>
        <v>PAVID1010</v>
      </c>
      <c r="B307" s="3" t="s">
        <v>354</v>
      </c>
      <c r="C307" s="3" t="s">
        <v>147</v>
      </c>
      <c r="D307" s="3" t="s">
        <v>104</v>
      </c>
      <c r="E307" s="3" t="s">
        <v>99</v>
      </c>
      <c r="F307" s="3" t="s">
        <v>149</v>
      </c>
      <c r="G307" s="4" t="s">
        <v>552</v>
      </c>
      <c r="H307" s="7">
        <v>2</v>
      </c>
      <c r="I307" s="4" t="s">
        <v>89</v>
      </c>
      <c r="J307" s="4" t="s">
        <v>794</v>
      </c>
      <c r="K307" s="6"/>
      <c r="L307" s="6"/>
      <c r="M307" s="6"/>
      <c r="N307" s="6"/>
      <c r="P307" s="4" t="s">
        <v>794</v>
      </c>
    </row>
    <row r="308" spans="1:16" x14ac:dyDescent="0.25">
      <c r="A308" s="3" t="str">
        <f t="shared" si="4"/>
        <v>PAEDO411</v>
      </c>
      <c r="B308" s="3" t="s">
        <v>758</v>
      </c>
      <c r="C308" s="3" t="s">
        <v>147</v>
      </c>
      <c r="D308" s="3" t="s">
        <v>103</v>
      </c>
      <c r="E308" s="3" t="s">
        <v>99</v>
      </c>
      <c r="F308" s="3" t="s">
        <v>149</v>
      </c>
      <c r="G308" s="4" t="s">
        <v>557</v>
      </c>
      <c r="H308" s="7">
        <v>2</v>
      </c>
      <c r="I308" s="4" t="s">
        <v>89</v>
      </c>
      <c r="J308" s="4" t="s">
        <v>797</v>
      </c>
      <c r="K308" s="6"/>
      <c r="L308" s="6"/>
      <c r="M308" s="6"/>
      <c r="N308" s="6"/>
      <c r="P308" s="4" t="s">
        <v>797</v>
      </c>
    </row>
    <row r="309" spans="1:16" x14ac:dyDescent="0.25">
      <c r="A309" s="3" t="str">
        <f t="shared" si="4"/>
        <v>PAUIS611</v>
      </c>
      <c r="B309" s="3" t="s">
        <v>759</v>
      </c>
      <c r="C309" s="3" t="s">
        <v>147</v>
      </c>
      <c r="D309" s="3" t="s">
        <v>104</v>
      </c>
      <c r="E309" s="3" t="s">
        <v>99</v>
      </c>
      <c r="F309" s="3" t="s">
        <v>149</v>
      </c>
      <c r="G309" s="4" t="s">
        <v>558</v>
      </c>
      <c r="H309" s="7">
        <v>1</v>
      </c>
      <c r="I309" s="4" t="s">
        <v>89</v>
      </c>
      <c r="J309" s="4" t="s">
        <v>794</v>
      </c>
      <c r="K309" s="6"/>
      <c r="L309" s="6"/>
      <c r="M309" s="6"/>
      <c r="N309" s="6"/>
      <c r="P309" s="4" t="s">
        <v>794</v>
      </c>
    </row>
    <row r="310" spans="1:16" x14ac:dyDescent="0.25">
      <c r="A310" s="3" t="str">
        <f t="shared" si="4"/>
        <v>QULES1212</v>
      </c>
      <c r="B310" s="3" t="s">
        <v>768</v>
      </c>
      <c r="C310" s="3" t="s">
        <v>147</v>
      </c>
      <c r="D310" s="3" t="s">
        <v>105</v>
      </c>
      <c r="E310" s="3" t="s">
        <v>99</v>
      </c>
      <c r="F310" s="3" t="s">
        <v>149</v>
      </c>
      <c r="G310" s="4" t="s">
        <v>577</v>
      </c>
      <c r="H310" s="7">
        <v>3</v>
      </c>
      <c r="I310" s="4" t="s">
        <v>89</v>
      </c>
      <c r="J310" s="4" t="s">
        <v>794</v>
      </c>
      <c r="K310" s="6"/>
      <c r="L310" s="6"/>
      <c r="M310" s="6"/>
      <c r="N310" s="6"/>
      <c r="P310" s="4" t="s">
        <v>794</v>
      </c>
    </row>
    <row r="311" spans="1:16" x14ac:dyDescent="0.25">
      <c r="A311" s="3" t="str">
        <f t="shared" si="4"/>
        <v>QUNIO513</v>
      </c>
      <c r="B311" s="3" t="s">
        <v>771</v>
      </c>
      <c r="C311" s="3" t="s">
        <v>147</v>
      </c>
      <c r="D311" s="3" t="s">
        <v>104</v>
      </c>
      <c r="E311" s="3" t="s">
        <v>99</v>
      </c>
      <c r="F311" s="3" t="s">
        <v>149</v>
      </c>
      <c r="G311" s="4" t="s">
        <v>586</v>
      </c>
      <c r="H311" s="7">
        <v>2</v>
      </c>
      <c r="I311" s="4" t="s">
        <v>89</v>
      </c>
      <c r="J311" s="4" t="s">
        <v>794</v>
      </c>
      <c r="K311" s="6"/>
      <c r="L311" s="6"/>
      <c r="M311" s="6"/>
      <c r="N311" s="6"/>
      <c r="P311" s="4" t="s">
        <v>794</v>
      </c>
    </row>
    <row r="312" spans="1:16" x14ac:dyDescent="0.25">
      <c r="A312" s="3" t="str">
        <f t="shared" si="4"/>
        <v>RICOS115</v>
      </c>
      <c r="B312" s="3" t="s">
        <v>391</v>
      </c>
      <c r="C312" s="3" t="s">
        <v>147</v>
      </c>
      <c r="D312" s="3" t="s">
        <v>105</v>
      </c>
      <c r="E312" s="3" t="s">
        <v>99</v>
      </c>
      <c r="F312" s="3" t="s">
        <v>149</v>
      </c>
      <c r="G312" s="4" t="s">
        <v>605</v>
      </c>
      <c r="H312" s="7">
        <v>3</v>
      </c>
      <c r="I312" s="4" t="s">
        <v>92</v>
      </c>
      <c r="J312" s="4" t="s">
        <v>794</v>
      </c>
      <c r="K312" s="6"/>
      <c r="L312" s="6"/>
      <c r="M312" s="6"/>
      <c r="N312" s="6"/>
      <c r="P312" s="4" t="s">
        <v>794</v>
      </c>
    </row>
    <row r="313" spans="1:16" x14ac:dyDescent="0.25">
      <c r="A313" s="3" t="str">
        <f t="shared" si="4"/>
        <v>RINAL814</v>
      </c>
      <c r="B313" s="3" t="s">
        <v>388</v>
      </c>
      <c r="C313" s="3" t="s">
        <v>147</v>
      </c>
      <c r="D313" s="3" t="s">
        <v>104</v>
      </c>
      <c r="E313" s="3" t="s">
        <v>99</v>
      </c>
      <c r="F313" s="3" t="s">
        <v>149</v>
      </c>
      <c r="G313" s="4" t="s">
        <v>600</v>
      </c>
      <c r="H313" s="7">
        <v>1</v>
      </c>
      <c r="I313" s="4" t="s">
        <v>91</v>
      </c>
      <c r="J313" s="4" t="s">
        <v>794</v>
      </c>
      <c r="K313" s="6"/>
      <c r="L313" s="6"/>
      <c r="M313" s="6"/>
      <c r="N313" s="6"/>
      <c r="P313" s="4" t="s">
        <v>794</v>
      </c>
    </row>
    <row r="314" spans="1:16" x14ac:dyDescent="0.25">
      <c r="A314" s="3" t="str">
        <f t="shared" si="4"/>
        <v>ROTON315</v>
      </c>
      <c r="B314" s="3" t="s">
        <v>778</v>
      </c>
      <c r="C314" s="3" t="s">
        <v>147</v>
      </c>
      <c r="D314" s="3" t="s">
        <v>104</v>
      </c>
      <c r="E314" s="3" t="s">
        <v>99</v>
      </c>
      <c r="F314" s="3" t="s">
        <v>149</v>
      </c>
      <c r="G314" s="4" t="s">
        <v>609</v>
      </c>
      <c r="H314" s="7">
        <v>2</v>
      </c>
      <c r="I314" s="4" t="s">
        <v>90</v>
      </c>
      <c r="J314" s="4" t="s">
        <v>794</v>
      </c>
      <c r="K314" s="6"/>
      <c r="L314" s="6"/>
      <c r="M314" s="6"/>
      <c r="N314" s="6"/>
      <c r="P314" s="4" t="s">
        <v>794</v>
      </c>
    </row>
    <row r="315" spans="1:16" x14ac:dyDescent="0.25">
      <c r="A315" s="3" t="str">
        <f t="shared" si="4"/>
        <v>ROCIO415</v>
      </c>
      <c r="B315" s="3" t="s">
        <v>394</v>
      </c>
      <c r="C315" s="3" t="s">
        <v>147</v>
      </c>
      <c r="D315" s="3" t="s">
        <v>104</v>
      </c>
      <c r="E315" s="3" t="s">
        <v>99</v>
      </c>
      <c r="F315" s="3" t="s">
        <v>149</v>
      </c>
      <c r="G315" s="4" t="s">
        <v>612</v>
      </c>
      <c r="H315" s="7"/>
      <c r="I315" s="4" t="s">
        <v>90</v>
      </c>
      <c r="J315" s="4" t="s">
        <v>794</v>
      </c>
      <c r="K315" s="6"/>
      <c r="L315" s="6"/>
      <c r="M315" s="6"/>
      <c r="N315" s="6"/>
      <c r="P315" s="4" t="s">
        <v>794</v>
      </c>
    </row>
    <row r="316" spans="1:16" x14ac:dyDescent="0.25">
      <c r="A316" s="3" t="str">
        <f t="shared" si="4"/>
        <v>ATLOS31</v>
      </c>
      <c r="B316" s="3" t="s">
        <v>85</v>
      </c>
      <c r="C316" s="3" t="s">
        <v>147</v>
      </c>
      <c r="D316" s="3" t="s">
        <v>150</v>
      </c>
      <c r="E316" s="3" t="s">
        <v>99</v>
      </c>
      <c r="F316" s="3" t="s">
        <v>167</v>
      </c>
      <c r="G316" s="4" t="s">
        <v>124</v>
      </c>
      <c r="H316" s="7"/>
      <c r="I316" s="4" t="s">
        <v>91</v>
      </c>
      <c r="J316" s="4" t="s">
        <v>809</v>
      </c>
      <c r="K316" s="6"/>
      <c r="L316" s="6"/>
      <c r="M316" s="6"/>
      <c r="N316" s="6"/>
      <c r="P316" s="4" t="s">
        <v>809</v>
      </c>
    </row>
    <row r="317" spans="1:16" x14ac:dyDescent="0.25">
      <c r="A317" s="3" t="str">
        <f t="shared" si="4"/>
        <v>AYNAN31</v>
      </c>
      <c r="B317" s="3" t="s">
        <v>87</v>
      </c>
      <c r="C317" s="3" t="s">
        <v>147</v>
      </c>
      <c r="D317" s="3" t="s">
        <v>103</v>
      </c>
      <c r="E317" s="3" t="s">
        <v>99</v>
      </c>
      <c r="F317" s="3" t="s">
        <v>167</v>
      </c>
      <c r="G317" s="4" t="s">
        <v>125</v>
      </c>
      <c r="H317" s="7">
        <v>4</v>
      </c>
      <c r="I317" s="4" t="s">
        <v>91</v>
      </c>
      <c r="J317" s="4" t="s">
        <v>827</v>
      </c>
      <c r="K317" s="6"/>
      <c r="L317" s="6"/>
      <c r="M317" s="6"/>
      <c r="N317" s="6"/>
      <c r="P317" s="4" t="s">
        <v>827</v>
      </c>
    </row>
    <row r="318" spans="1:16" x14ac:dyDescent="0.25">
      <c r="A318" s="3" t="str">
        <f t="shared" si="4"/>
        <v>BRBEN41</v>
      </c>
      <c r="B318" s="3" t="s">
        <v>186</v>
      </c>
      <c r="C318" s="3" t="s">
        <v>147</v>
      </c>
      <c r="D318" s="3" t="s">
        <v>103</v>
      </c>
      <c r="E318" s="3" t="s">
        <v>99</v>
      </c>
      <c r="F318" s="3" t="s">
        <v>167</v>
      </c>
      <c r="G318" s="4" t="s">
        <v>130</v>
      </c>
      <c r="H318" s="7">
        <v>4</v>
      </c>
      <c r="I318" s="4" t="s">
        <v>89</v>
      </c>
      <c r="J318" s="4" t="s">
        <v>809</v>
      </c>
      <c r="K318" s="6"/>
      <c r="L318" s="6"/>
      <c r="M318" s="6"/>
      <c r="N318" s="6"/>
      <c r="P318" s="4" t="s">
        <v>809</v>
      </c>
    </row>
    <row r="319" spans="1:16" x14ac:dyDescent="0.25">
      <c r="A319" s="3" t="str">
        <f t="shared" si="4"/>
        <v>CHMER51</v>
      </c>
      <c r="B319" s="3" t="s">
        <v>699</v>
      </c>
      <c r="C319" s="3" t="s">
        <v>147</v>
      </c>
      <c r="D319" s="3" t="s">
        <v>103</v>
      </c>
      <c r="E319" s="3" t="s">
        <v>99</v>
      </c>
      <c r="F319" s="3" t="s">
        <v>167</v>
      </c>
      <c r="G319" s="4" t="s">
        <v>134</v>
      </c>
      <c r="H319" s="7"/>
      <c r="I319" s="4" t="s">
        <v>91</v>
      </c>
      <c r="J319" s="4" t="s">
        <v>827</v>
      </c>
      <c r="K319" s="6"/>
      <c r="L319" s="6"/>
      <c r="M319" s="6"/>
      <c r="N319" s="6"/>
      <c r="P319" s="4" t="s">
        <v>827</v>
      </c>
    </row>
    <row r="320" spans="1:16" x14ac:dyDescent="0.25">
      <c r="A320" s="3" t="str">
        <f t="shared" si="4"/>
        <v>EGOSO91</v>
      </c>
      <c r="B320" s="3" t="s">
        <v>232</v>
      </c>
      <c r="C320" s="3" t="s">
        <v>147</v>
      </c>
      <c r="D320" s="3" t="s">
        <v>105</v>
      </c>
      <c r="E320" s="3" t="s">
        <v>99</v>
      </c>
      <c r="F320" s="3" t="s">
        <v>167</v>
      </c>
      <c r="G320" s="4" t="s">
        <v>432</v>
      </c>
      <c r="H320" s="7">
        <v>2</v>
      </c>
      <c r="I320" s="4" t="s">
        <v>89</v>
      </c>
      <c r="J320" s="4" t="s">
        <v>809</v>
      </c>
      <c r="K320" s="6"/>
      <c r="L320" s="6"/>
      <c r="M320" s="6"/>
      <c r="N320" s="6"/>
      <c r="P320" s="4" t="s">
        <v>809</v>
      </c>
    </row>
    <row r="321" spans="1:16" x14ac:dyDescent="0.25">
      <c r="A321" s="3" t="str">
        <f t="shared" si="4"/>
        <v>GANDO121</v>
      </c>
      <c r="B321" s="3" t="s">
        <v>714</v>
      </c>
      <c r="C321" s="3" t="s">
        <v>147</v>
      </c>
      <c r="D321" s="3" t="s">
        <v>103</v>
      </c>
      <c r="E321" s="3" t="s">
        <v>99</v>
      </c>
      <c r="F321" s="3" t="s">
        <v>167</v>
      </c>
      <c r="G321" s="4" t="s">
        <v>444</v>
      </c>
      <c r="H321" s="7">
        <v>1</v>
      </c>
      <c r="I321" s="4" t="s">
        <v>89</v>
      </c>
      <c r="J321" s="4" t="s">
        <v>810</v>
      </c>
      <c r="K321" s="6"/>
      <c r="L321" s="6"/>
      <c r="M321" s="6"/>
      <c r="N321" s="6"/>
      <c r="P321" s="4" t="s">
        <v>810</v>
      </c>
    </row>
    <row r="322" spans="1:16" x14ac:dyDescent="0.25">
      <c r="A322" s="3" t="str">
        <f t="shared" ref="A322:A385" si="5">+CONCATENATE(LEFT(B322,2),RIGHT(B322,3),MONTH(G322),DAY(G322))</f>
        <v>HIAAC24</v>
      </c>
      <c r="B322" s="3" t="s">
        <v>269</v>
      </c>
      <c r="C322" s="3" t="s">
        <v>147</v>
      </c>
      <c r="D322" s="3" t="s">
        <v>150</v>
      </c>
      <c r="E322" s="3" t="s">
        <v>99</v>
      </c>
      <c r="F322" s="3" t="s">
        <v>167</v>
      </c>
      <c r="G322" s="4" t="s">
        <v>462</v>
      </c>
      <c r="H322" s="7"/>
      <c r="I322" s="4" t="s">
        <v>89</v>
      </c>
      <c r="J322" s="4" t="s">
        <v>809</v>
      </c>
      <c r="K322" s="6"/>
      <c r="L322" s="6"/>
      <c r="M322" s="6"/>
      <c r="N322" s="6"/>
      <c r="P322" s="4" t="s">
        <v>809</v>
      </c>
    </row>
    <row r="323" spans="1:16" x14ac:dyDescent="0.25">
      <c r="A323" s="3" t="str">
        <f t="shared" si="5"/>
        <v>HISAR34</v>
      </c>
      <c r="B323" s="3" t="s">
        <v>273</v>
      </c>
      <c r="C323" s="3" t="s">
        <v>147</v>
      </c>
      <c r="D323" s="3" t="s">
        <v>103</v>
      </c>
      <c r="E323" s="3" t="s">
        <v>99</v>
      </c>
      <c r="F323" s="3" t="s">
        <v>167</v>
      </c>
      <c r="G323" s="4" t="s">
        <v>464</v>
      </c>
      <c r="H323" s="7">
        <v>1</v>
      </c>
      <c r="I323" s="4" t="s">
        <v>89</v>
      </c>
      <c r="J323" s="4" t="s">
        <v>827</v>
      </c>
      <c r="K323" s="6"/>
      <c r="L323" s="6"/>
      <c r="M323" s="6"/>
      <c r="N323" s="6"/>
      <c r="P323" s="4" t="s">
        <v>827</v>
      </c>
    </row>
    <row r="324" spans="1:16" x14ac:dyDescent="0.25">
      <c r="A324" s="3" t="str">
        <f t="shared" si="5"/>
        <v>HURTO45</v>
      </c>
      <c r="B324" s="3" t="s">
        <v>284</v>
      </c>
      <c r="C324" s="3" t="s">
        <v>147</v>
      </c>
      <c r="D324" s="3" t="s">
        <v>105</v>
      </c>
      <c r="E324" s="3" t="s">
        <v>99</v>
      </c>
      <c r="F324" s="3" t="s">
        <v>167</v>
      </c>
      <c r="G324" s="4" t="s">
        <v>476</v>
      </c>
      <c r="H324" s="7"/>
      <c r="I324" s="4" t="s">
        <v>91</v>
      </c>
      <c r="J324" s="4" t="s">
        <v>809</v>
      </c>
      <c r="K324" s="6"/>
      <c r="L324" s="6"/>
      <c r="M324" s="6"/>
      <c r="N324" s="6"/>
      <c r="P324" s="4" t="s">
        <v>809</v>
      </c>
    </row>
    <row r="325" spans="1:16" x14ac:dyDescent="0.25">
      <c r="A325" s="3" t="str">
        <f t="shared" si="5"/>
        <v>JUOEL56</v>
      </c>
      <c r="B325" s="3" t="s">
        <v>304</v>
      </c>
      <c r="C325" s="3" t="s">
        <v>147</v>
      </c>
      <c r="D325" s="3" t="s">
        <v>103</v>
      </c>
      <c r="E325" s="3" t="s">
        <v>99</v>
      </c>
      <c r="F325" s="3" t="s">
        <v>167</v>
      </c>
      <c r="G325" s="4" t="s">
        <v>494</v>
      </c>
      <c r="H325" s="7"/>
      <c r="I325" s="4" t="s">
        <v>89</v>
      </c>
      <c r="J325" s="4" t="s">
        <v>808</v>
      </c>
      <c r="K325" s="6"/>
      <c r="L325" s="6"/>
      <c r="M325" s="6"/>
      <c r="N325" s="6"/>
      <c r="P325" s="4" t="s">
        <v>808</v>
      </c>
    </row>
    <row r="326" spans="1:16" x14ac:dyDescent="0.25">
      <c r="A326" s="3" t="str">
        <f t="shared" si="5"/>
        <v>LLARD37</v>
      </c>
      <c r="B326" s="3" t="s">
        <v>315</v>
      </c>
      <c r="C326" s="3" t="s">
        <v>147</v>
      </c>
      <c r="D326" s="3" t="s">
        <v>105</v>
      </c>
      <c r="E326" s="3" t="s">
        <v>99</v>
      </c>
      <c r="F326" s="3" t="s">
        <v>167</v>
      </c>
      <c r="G326" s="4" t="s">
        <v>505</v>
      </c>
      <c r="H326" s="7">
        <v>3</v>
      </c>
      <c r="I326" s="4" t="s">
        <v>89</v>
      </c>
      <c r="J326" s="4" t="s">
        <v>809</v>
      </c>
      <c r="K326" s="6"/>
      <c r="L326" s="6"/>
      <c r="M326" s="6"/>
      <c r="N326" s="6"/>
      <c r="P326" s="4" t="s">
        <v>809</v>
      </c>
    </row>
    <row r="327" spans="1:16" x14ac:dyDescent="0.25">
      <c r="A327" s="3" t="str">
        <f t="shared" si="5"/>
        <v>LORCY47</v>
      </c>
      <c r="B327" s="3" t="s">
        <v>316</v>
      </c>
      <c r="C327" s="3" t="s">
        <v>147</v>
      </c>
      <c r="D327" s="3" t="s">
        <v>103</v>
      </c>
      <c r="E327" s="3" t="s">
        <v>99</v>
      </c>
      <c r="F327" s="3" t="s">
        <v>167</v>
      </c>
      <c r="G327" s="4" t="s">
        <v>507</v>
      </c>
      <c r="H327" s="7">
        <v>1</v>
      </c>
      <c r="I327" s="4" t="s">
        <v>91</v>
      </c>
      <c r="J327" s="4" t="s">
        <v>827</v>
      </c>
      <c r="K327" s="6"/>
      <c r="L327" s="6"/>
      <c r="M327" s="6"/>
      <c r="N327" s="6"/>
      <c r="P327" s="4" t="s">
        <v>827</v>
      </c>
    </row>
    <row r="328" spans="1:16" x14ac:dyDescent="0.25">
      <c r="A328" s="3" t="str">
        <f t="shared" si="5"/>
        <v>MASON77</v>
      </c>
      <c r="B328" s="3" t="s">
        <v>738</v>
      </c>
      <c r="C328" s="3" t="s">
        <v>147</v>
      </c>
      <c r="D328" s="3" t="s">
        <v>105</v>
      </c>
      <c r="E328" s="3" t="s">
        <v>99</v>
      </c>
      <c r="F328" s="3" t="s">
        <v>167</v>
      </c>
      <c r="G328" s="4" t="s">
        <v>512</v>
      </c>
      <c r="H328" s="7"/>
      <c r="I328" s="4" t="s">
        <v>89</v>
      </c>
      <c r="J328" s="4" t="s">
        <v>827</v>
      </c>
      <c r="K328" s="6"/>
      <c r="L328" s="6"/>
      <c r="M328" s="6"/>
      <c r="N328" s="6"/>
      <c r="P328" s="4" t="s">
        <v>827</v>
      </c>
    </row>
    <row r="329" spans="1:16" x14ac:dyDescent="0.25">
      <c r="A329" s="3" t="str">
        <f t="shared" si="5"/>
        <v>MOONY78</v>
      </c>
      <c r="B329" s="3" t="s">
        <v>338</v>
      </c>
      <c r="C329" s="3" t="s">
        <v>147</v>
      </c>
      <c r="D329" s="3" t="s">
        <v>105</v>
      </c>
      <c r="E329" s="3" t="s">
        <v>99</v>
      </c>
      <c r="F329" s="3" t="s">
        <v>167</v>
      </c>
      <c r="G329" s="4" t="s">
        <v>526</v>
      </c>
      <c r="H329" s="7"/>
      <c r="I329" s="4" t="s">
        <v>91</v>
      </c>
      <c r="J329" s="4" t="s">
        <v>827</v>
      </c>
      <c r="K329" s="6"/>
      <c r="L329" s="6"/>
      <c r="M329" s="6"/>
      <c r="N329" s="6"/>
      <c r="P329" s="4" t="s">
        <v>827</v>
      </c>
    </row>
    <row r="330" spans="1:16" x14ac:dyDescent="0.25">
      <c r="A330" s="3" t="str">
        <f t="shared" si="5"/>
        <v>OSMIN610</v>
      </c>
      <c r="B330" s="3" t="s">
        <v>756</v>
      </c>
      <c r="C330" s="3" t="s">
        <v>147</v>
      </c>
      <c r="D330" s="3" t="s">
        <v>105</v>
      </c>
      <c r="E330" s="3" t="s">
        <v>99</v>
      </c>
      <c r="F330" s="3" t="s">
        <v>167</v>
      </c>
      <c r="G330" s="4" t="s">
        <v>546</v>
      </c>
      <c r="H330" s="7">
        <v>2</v>
      </c>
      <c r="I330" s="4" t="s">
        <v>91</v>
      </c>
      <c r="J330" s="4" t="s">
        <v>809</v>
      </c>
      <c r="K330" s="6"/>
      <c r="L330" s="6"/>
      <c r="M330" s="6"/>
      <c r="N330" s="6"/>
      <c r="P330" s="4" t="s">
        <v>809</v>
      </c>
    </row>
    <row r="331" spans="1:16" x14ac:dyDescent="0.25">
      <c r="A331" s="3" t="str">
        <f t="shared" si="5"/>
        <v>PAIPE1110</v>
      </c>
      <c r="B331" s="3" t="s">
        <v>355</v>
      </c>
      <c r="C331" s="3" t="s">
        <v>147</v>
      </c>
      <c r="D331" s="3" t="s">
        <v>103</v>
      </c>
      <c r="E331" s="3" t="s">
        <v>99</v>
      </c>
      <c r="F331" s="3" t="s">
        <v>167</v>
      </c>
      <c r="G331" s="4" t="s">
        <v>553</v>
      </c>
      <c r="H331" s="7">
        <v>4</v>
      </c>
      <c r="I331" s="4" t="s">
        <v>90</v>
      </c>
      <c r="J331" s="4" t="s">
        <v>809</v>
      </c>
      <c r="K331" s="6"/>
      <c r="L331" s="6"/>
      <c r="M331" s="6"/>
      <c r="N331" s="6"/>
      <c r="P331" s="4" t="s">
        <v>809</v>
      </c>
    </row>
    <row r="332" spans="1:16" x14ac:dyDescent="0.25">
      <c r="A332" s="3" t="str">
        <f t="shared" si="5"/>
        <v>PUOSE912</v>
      </c>
      <c r="B332" s="3" t="s">
        <v>767</v>
      </c>
      <c r="C332" s="3" t="s">
        <v>147</v>
      </c>
      <c r="D332" s="3" t="s">
        <v>103</v>
      </c>
      <c r="E332" s="3" t="s">
        <v>99</v>
      </c>
      <c r="F332" s="3" t="s">
        <v>167</v>
      </c>
      <c r="G332" s="4" t="s">
        <v>575</v>
      </c>
      <c r="H332" s="7">
        <v>5</v>
      </c>
      <c r="I332" s="4" t="s">
        <v>90</v>
      </c>
      <c r="J332" s="4" t="s">
        <v>809</v>
      </c>
      <c r="K332" s="6"/>
      <c r="L332" s="6"/>
      <c r="M332" s="6"/>
      <c r="N332" s="6"/>
      <c r="P332" s="4" t="s">
        <v>809</v>
      </c>
    </row>
    <row r="333" spans="1:16" x14ac:dyDescent="0.25">
      <c r="A333" s="3" t="str">
        <f t="shared" si="5"/>
        <v>RAEDY1213</v>
      </c>
      <c r="B333" s="3" t="s">
        <v>380</v>
      </c>
      <c r="C333" s="3" t="s">
        <v>147</v>
      </c>
      <c r="D333" s="3" t="s">
        <v>103</v>
      </c>
      <c r="E333" s="3" t="s">
        <v>99</v>
      </c>
      <c r="F333" s="3" t="s">
        <v>167</v>
      </c>
      <c r="G333" s="4" t="s">
        <v>590</v>
      </c>
      <c r="H333" s="7">
        <v>2</v>
      </c>
      <c r="I333" s="4" t="s">
        <v>91</v>
      </c>
      <c r="J333" s="4" t="s">
        <v>809</v>
      </c>
      <c r="K333" s="6"/>
      <c r="L333" s="6"/>
      <c r="M333" s="6"/>
      <c r="N333" s="6"/>
      <c r="P333" s="4" t="s">
        <v>809</v>
      </c>
    </row>
    <row r="334" spans="1:16" x14ac:dyDescent="0.25">
      <c r="A334" s="3" t="str">
        <f t="shared" si="5"/>
        <v>RODRO1115</v>
      </c>
      <c r="B334" s="3" t="s">
        <v>402</v>
      </c>
      <c r="C334" s="3" t="s">
        <v>147</v>
      </c>
      <c r="D334" s="3" t="s">
        <v>105</v>
      </c>
      <c r="E334" s="3" t="s">
        <v>99</v>
      </c>
      <c r="F334" s="3" t="s">
        <v>167</v>
      </c>
      <c r="G334" s="4" t="s">
        <v>622</v>
      </c>
      <c r="H334" s="7"/>
      <c r="I334" s="4" t="s">
        <v>91</v>
      </c>
      <c r="J334" s="4" t="s">
        <v>827</v>
      </c>
      <c r="K334" s="6"/>
      <c r="L334" s="6"/>
      <c r="M334" s="6"/>
      <c r="N334" s="6"/>
      <c r="P334" s="4" t="s">
        <v>827</v>
      </c>
    </row>
    <row r="335" spans="1:16" x14ac:dyDescent="0.25">
      <c r="A335" s="3" t="str">
        <f t="shared" si="5"/>
        <v>ROWIN315</v>
      </c>
      <c r="B335" s="3" t="s">
        <v>777</v>
      </c>
      <c r="C335" s="3" t="s">
        <v>147</v>
      </c>
      <c r="D335" s="3" t="s">
        <v>105</v>
      </c>
      <c r="E335" s="3" t="s">
        <v>99</v>
      </c>
      <c r="F335" s="3" t="s">
        <v>167</v>
      </c>
      <c r="G335" s="4" t="s">
        <v>608</v>
      </c>
      <c r="H335" s="7">
        <v>2</v>
      </c>
      <c r="I335" s="4" t="s">
        <v>91</v>
      </c>
      <c r="J335" s="4" t="s">
        <v>794</v>
      </c>
      <c r="K335" s="6"/>
      <c r="L335" s="6"/>
      <c r="M335" s="6"/>
      <c r="N335" s="6"/>
      <c r="P335" s="4" t="s">
        <v>794</v>
      </c>
    </row>
    <row r="336" spans="1:16" x14ac:dyDescent="0.25">
      <c r="A336" s="3" t="str">
        <f t="shared" si="5"/>
        <v>RUERT217</v>
      </c>
      <c r="B336" s="3" t="s">
        <v>413</v>
      </c>
      <c r="C336" s="3" t="s">
        <v>147</v>
      </c>
      <c r="D336" s="3" t="s">
        <v>104</v>
      </c>
      <c r="E336" s="3" t="s">
        <v>99</v>
      </c>
      <c r="F336" s="3" t="s">
        <v>167</v>
      </c>
      <c r="G336" s="4" t="s">
        <v>633</v>
      </c>
      <c r="H336" s="7">
        <v>5</v>
      </c>
      <c r="I336" s="4" t="s">
        <v>89</v>
      </c>
      <c r="J336" s="4" t="s">
        <v>827</v>
      </c>
      <c r="K336" s="6"/>
      <c r="L336" s="6"/>
      <c r="M336" s="6"/>
      <c r="N336" s="6"/>
      <c r="P336" s="4" t="s">
        <v>827</v>
      </c>
    </row>
    <row r="337" spans="1:16" x14ac:dyDescent="0.25">
      <c r="A337" s="3" t="str">
        <f t="shared" si="5"/>
        <v>SASER517</v>
      </c>
      <c r="B337" s="3" t="s">
        <v>418</v>
      </c>
      <c r="C337" s="3" t="s">
        <v>147</v>
      </c>
      <c r="D337" s="3" t="s">
        <v>103</v>
      </c>
      <c r="E337" s="3" t="s">
        <v>99</v>
      </c>
      <c r="F337" s="3" t="s">
        <v>167</v>
      </c>
      <c r="G337" s="4" t="s">
        <v>637</v>
      </c>
      <c r="H337" s="7">
        <v>2</v>
      </c>
      <c r="I337" s="4" t="s">
        <v>89</v>
      </c>
      <c r="J337" s="4" t="s">
        <v>827</v>
      </c>
      <c r="K337" s="6"/>
      <c r="L337" s="6"/>
      <c r="M337" s="6"/>
      <c r="N337" s="6"/>
      <c r="P337" s="4" t="s">
        <v>827</v>
      </c>
    </row>
    <row r="338" spans="1:16" x14ac:dyDescent="0.25">
      <c r="A338" s="3" t="str">
        <f t="shared" si="5"/>
        <v>AIION11</v>
      </c>
      <c r="B338" s="3" t="s">
        <v>72</v>
      </c>
      <c r="C338" s="3" t="s">
        <v>147</v>
      </c>
      <c r="D338" s="3" t="s">
        <v>150</v>
      </c>
      <c r="E338" s="3" t="s">
        <v>99</v>
      </c>
      <c r="F338" s="3" t="s">
        <v>152</v>
      </c>
      <c r="G338" s="4" t="s">
        <v>113</v>
      </c>
      <c r="H338" s="7">
        <v>5</v>
      </c>
      <c r="I338" s="4" t="s">
        <v>89</v>
      </c>
      <c r="J338" s="4" t="s">
        <v>809</v>
      </c>
      <c r="K338" s="6"/>
      <c r="L338" s="6"/>
      <c r="M338" s="6"/>
      <c r="N338" s="6"/>
      <c r="P338" s="4" t="s">
        <v>809</v>
      </c>
    </row>
    <row r="339" spans="1:16" x14ac:dyDescent="0.25">
      <c r="A339" s="3" t="str">
        <f t="shared" si="5"/>
        <v>ARBER21</v>
      </c>
      <c r="B339" s="3" t="s">
        <v>79</v>
      </c>
      <c r="C339" s="3" t="s">
        <v>147</v>
      </c>
      <c r="D339" s="3" t="s">
        <v>105</v>
      </c>
      <c r="E339" s="3" t="s">
        <v>99</v>
      </c>
      <c r="F339" s="3" t="s">
        <v>152</v>
      </c>
      <c r="G339" s="4" t="s">
        <v>120</v>
      </c>
      <c r="H339" s="7">
        <v>1</v>
      </c>
      <c r="I339" s="4" t="s">
        <v>91</v>
      </c>
      <c r="J339" s="4" t="s">
        <v>793</v>
      </c>
      <c r="K339" s="6"/>
      <c r="L339" s="6"/>
      <c r="M339" s="6"/>
      <c r="N339" s="6"/>
      <c r="P339" s="4" t="s">
        <v>793</v>
      </c>
    </row>
    <row r="340" spans="1:16" x14ac:dyDescent="0.25">
      <c r="A340" s="3" t="str">
        <f t="shared" si="5"/>
        <v>ARBER21</v>
      </c>
      <c r="B340" s="3" t="s">
        <v>81</v>
      </c>
      <c r="C340" s="3" t="s">
        <v>147</v>
      </c>
      <c r="D340" s="3" t="s">
        <v>103</v>
      </c>
      <c r="E340" s="3" t="s">
        <v>99</v>
      </c>
      <c r="F340" s="3" t="s">
        <v>152</v>
      </c>
      <c r="G340" s="4" t="s">
        <v>121</v>
      </c>
      <c r="H340" s="7">
        <v>4</v>
      </c>
      <c r="I340" s="4" t="s">
        <v>89</v>
      </c>
      <c r="J340" s="4" t="s">
        <v>793</v>
      </c>
      <c r="K340" s="6"/>
      <c r="L340" s="6"/>
      <c r="M340" s="6"/>
      <c r="N340" s="6"/>
      <c r="P340" s="4" t="s">
        <v>793</v>
      </c>
    </row>
    <row r="341" spans="1:16" x14ac:dyDescent="0.25">
      <c r="A341" s="3" t="str">
        <f t="shared" si="5"/>
        <v>AROHN21</v>
      </c>
      <c r="B341" s="3" t="s">
        <v>80</v>
      </c>
      <c r="C341" s="3" t="s">
        <v>147</v>
      </c>
      <c r="D341" s="3" t="s">
        <v>104</v>
      </c>
      <c r="E341" s="3" t="s">
        <v>99</v>
      </c>
      <c r="F341" s="3" t="s">
        <v>152</v>
      </c>
      <c r="G341" s="4" t="s">
        <v>121</v>
      </c>
      <c r="H341" s="7">
        <v>4</v>
      </c>
      <c r="I341" s="4" t="s">
        <v>91</v>
      </c>
      <c r="J341" s="4" t="s">
        <v>793</v>
      </c>
      <c r="K341" s="6"/>
      <c r="L341" s="6"/>
      <c r="M341" s="6"/>
      <c r="N341" s="6"/>
      <c r="P341" s="4" t="s">
        <v>793</v>
      </c>
    </row>
    <row r="342" spans="1:16" x14ac:dyDescent="0.25">
      <c r="A342" s="3" t="str">
        <f t="shared" si="5"/>
        <v>ASTER31</v>
      </c>
      <c r="B342" s="3" t="s">
        <v>84</v>
      </c>
      <c r="C342" s="3" t="s">
        <v>147</v>
      </c>
      <c r="D342" s="3" t="s">
        <v>103</v>
      </c>
      <c r="E342" s="3" t="s">
        <v>99</v>
      </c>
      <c r="F342" s="3" t="s">
        <v>152</v>
      </c>
      <c r="G342" s="4" t="s">
        <v>124</v>
      </c>
      <c r="H342" s="7">
        <v>5</v>
      </c>
      <c r="I342" s="4" t="s">
        <v>90</v>
      </c>
      <c r="J342" s="4" t="s">
        <v>797</v>
      </c>
      <c r="K342" s="6"/>
      <c r="L342" s="6"/>
      <c r="M342" s="6"/>
      <c r="N342" s="6"/>
      <c r="P342" s="4" t="s">
        <v>797</v>
      </c>
    </row>
    <row r="343" spans="1:16" x14ac:dyDescent="0.25">
      <c r="A343" s="3" t="str">
        <f t="shared" si="5"/>
        <v>BAOSE31</v>
      </c>
      <c r="B343" s="3" t="s">
        <v>177</v>
      </c>
      <c r="C343" s="3" t="s">
        <v>147</v>
      </c>
      <c r="D343" s="3" t="s">
        <v>103</v>
      </c>
      <c r="E343" s="3" t="s">
        <v>99</v>
      </c>
      <c r="F343" s="3" t="s">
        <v>152</v>
      </c>
      <c r="G343" s="4" t="s">
        <v>126</v>
      </c>
      <c r="H343" s="7">
        <v>5</v>
      </c>
      <c r="I343" s="4" t="s">
        <v>91</v>
      </c>
      <c r="J343" s="4" t="s">
        <v>793</v>
      </c>
      <c r="K343" s="6"/>
      <c r="L343" s="6"/>
      <c r="M343" s="6"/>
      <c r="N343" s="6"/>
      <c r="P343" s="4" t="s">
        <v>793</v>
      </c>
    </row>
    <row r="344" spans="1:16" x14ac:dyDescent="0.25">
      <c r="A344" s="3" t="str">
        <f t="shared" si="5"/>
        <v>CCLDO51</v>
      </c>
      <c r="B344" s="3" t="s">
        <v>202</v>
      </c>
      <c r="C344" s="3" t="s">
        <v>147</v>
      </c>
      <c r="D344" s="3" t="s">
        <v>104</v>
      </c>
      <c r="E344" s="3" t="s">
        <v>99</v>
      </c>
      <c r="F344" s="3" t="s">
        <v>152</v>
      </c>
      <c r="G344" s="4" t="s">
        <v>131</v>
      </c>
      <c r="H344" s="7">
        <v>1</v>
      </c>
      <c r="I344" s="4" t="s">
        <v>89</v>
      </c>
      <c r="J344" s="4" t="s">
        <v>811</v>
      </c>
      <c r="K344" s="6"/>
      <c r="L344" s="6"/>
      <c r="M344" s="6"/>
      <c r="N344" s="6"/>
      <c r="P344" s="4" t="s">
        <v>811</v>
      </c>
    </row>
    <row r="345" spans="1:16" x14ac:dyDescent="0.25">
      <c r="A345" s="3" t="str">
        <f t="shared" si="5"/>
        <v>CCALO51</v>
      </c>
      <c r="B345" s="3" t="s">
        <v>201</v>
      </c>
      <c r="C345" s="3" t="s">
        <v>147</v>
      </c>
      <c r="D345" s="3" t="s">
        <v>103</v>
      </c>
      <c r="E345" s="3" t="s">
        <v>99</v>
      </c>
      <c r="F345" s="3" t="s">
        <v>152</v>
      </c>
      <c r="G345" s="4" t="s">
        <v>131</v>
      </c>
      <c r="H345" s="7">
        <v>2</v>
      </c>
      <c r="I345" s="4" t="s">
        <v>89</v>
      </c>
      <c r="J345" s="4" t="s">
        <v>811</v>
      </c>
      <c r="K345" s="6"/>
      <c r="L345" s="6"/>
      <c r="M345" s="6"/>
      <c r="N345" s="6"/>
      <c r="P345" s="4" t="s">
        <v>811</v>
      </c>
    </row>
    <row r="346" spans="1:16" x14ac:dyDescent="0.25">
      <c r="A346" s="3" t="str">
        <f t="shared" si="5"/>
        <v>CHFIN51</v>
      </c>
      <c r="B346" s="3" t="s">
        <v>695</v>
      </c>
      <c r="C346" s="3" t="s">
        <v>147</v>
      </c>
      <c r="D346" s="3" t="s">
        <v>103</v>
      </c>
      <c r="E346" s="3" t="s">
        <v>99</v>
      </c>
      <c r="F346" s="3" t="s">
        <v>152</v>
      </c>
      <c r="G346" s="4" t="s">
        <v>132</v>
      </c>
      <c r="H346" s="7">
        <v>1</v>
      </c>
      <c r="I346" s="4" t="s">
        <v>89</v>
      </c>
      <c r="J346" s="4" t="s">
        <v>811</v>
      </c>
      <c r="K346" s="6"/>
      <c r="L346" s="6"/>
      <c r="M346" s="6"/>
      <c r="N346" s="6"/>
      <c r="P346" s="4" t="s">
        <v>811</v>
      </c>
    </row>
    <row r="347" spans="1:16" x14ac:dyDescent="0.25">
      <c r="A347" s="3" t="str">
        <f t="shared" si="5"/>
        <v>CHLIO51</v>
      </c>
      <c r="B347" s="3" t="s">
        <v>698</v>
      </c>
      <c r="C347" s="3" t="s">
        <v>147</v>
      </c>
      <c r="D347" s="3" t="s">
        <v>104</v>
      </c>
      <c r="E347" s="3" t="s">
        <v>99</v>
      </c>
      <c r="F347" s="3" t="s">
        <v>152</v>
      </c>
      <c r="G347" s="4" t="s">
        <v>134</v>
      </c>
      <c r="H347" s="7">
        <v>1</v>
      </c>
      <c r="I347" s="4" t="s">
        <v>89</v>
      </c>
      <c r="J347" s="4" t="s">
        <v>811</v>
      </c>
      <c r="K347" s="6"/>
      <c r="L347" s="6"/>
      <c r="M347" s="6"/>
      <c r="N347" s="6"/>
      <c r="P347" s="4" t="s">
        <v>811</v>
      </c>
    </row>
    <row r="348" spans="1:16" x14ac:dyDescent="0.25">
      <c r="A348" s="3" t="str">
        <f t="shared" si="5"/>
        <v>COEDO61</v>
      </c>
      <c r="B348" s="3" t="s">
        <v>212</v>
      </c>
      <c r="C348" s="3" t="s">
        <v>147</v>
      </c>
      <c r="D348" s="3" t="s">
        <v>150</v>
      </c>
      <c r="E348" s="3" t="s">
        <v>99</v>
      </c>
      <c r="F348" s="3" t="s">
        <v>152</v>
      </c>
      <c r="G348" s="4" t="s">
        <v>138</v>
      </c>
      <c r="H348" s="7"/>
      <c r="I348" s="4" t="s">
        <v>90</v>
      </c>
      <c r="J348" s="4" t="s">
        <v>811</v>
      </c>
      <c r="K348" s="6"/>
      <c r="L348" s="6"/>
      <c r="M348" s="6"/>
      <c r="N348" s="6"/>
      <c r="P348" s="4" t="s">
        <v>811</v>
      </c>
    </row>
    <row r="349" spans="1:16" x14ac:dyDescent="0.25">
      <c r="A349" s="3" t="str">
        <f t="shared" si="5"/>
        <v>COXTO71</v>
      </c>
      <c r="B349" s="3" t="s">
        <v>702</v>
      </c>
      <c r="C349" s="3" t="s">
        <v>147</v>
      </c>
      <c r="D349" s="3" t="s">
        <v>105</v>
      </c>
      <c r="E349" s="3" t="s">
        <v>99</v>
      </c>
      <c r="F349" s="3" t="s">
        <v>152</v>
      </c>
      <c r="G349" s="4" t="s">
        <v>141</v>
      </c>
      <c r="H349" s="7">
        <v>1</v>
      </c>
      <c r="I349" s="4" t="s">
        <v>89</v>
      </c>
      <c r="J349" s="4" t="s">
        <v>809</v>
      </c>
      <c r="K349" s="6"/>
      <c r="L349" s="6"/>
      <c r="M349" s="6"/>
      <c r="N349" s="6"/>
      <c r="P349" s="4" t="s">
        <v>809</v>
      </c>
    </row>
    <row r="350" spans="1:16" x14ac:dyDescent="0.25">
      <c r="A350" s="3" t="str">
        <f t="shared" si="5"/>
        <v>CRSON71</v>
      </c>
      <c r="B350" s="3" t="s">
        <v>705</v>
      </c>
      <c r="C350" s="3" t="s">
        <v>147</v>
      </c>
      <c r="D350" s="3" t="s">
        <v>103</v>
      </c>
      <c r="E350" s="3" t="s">
        <v>99</v>
      </c>
      <c r="F350" s="3" t="s">
        <v>152</v>
      </c>
      <c r="G350" s="4" t="s">
        <v>144</v>
      </c>
      <c r="H350" s="7">
        <v>1</v>
      </c>
      <c r="I350" s="4" t="s">
        <v>91</v>
      </c>
      <c r="J350" s="4" t="s">
        <v>827</v>
      </c>
      <c r="K350" s="6"/>
      <c r="L350" s="6"/>
      <c r="M350" s="6"/>
      <c r="N350" s="6"/>
      <c r="P350" s="4" t="s">
        <v>827</v>
      </c>
    </row>
    <row r="351" spans="1:16" x14ac:dyDescent="0.25">
      <c r="A351" s="3" t="str">
        <f t="shared" si="5"/>
        <v>CUINE81</v>
      </c>
      <c r="B351" s="3" t="s">
        <v>223</v>
      </c>
      <c r="C351" s="3" t="s">
        <v>147</v>
      </c>
      <c r="D351" s="3" t="s">
        <v>104</v>
      </c>
      <c r="E351" s="3" t="s">
        <v>99</v>
      </c>
      <c r="F351" s="3" t="s">
        <v>152</v>
      </c>
      <c r="G351" s="4" t="s">
        <v>145</v>
      </c>
      <c r="H351" s="7">
        <v>2</v>
      </c>
      <c r="I351" s="4" t="s">
        <v>89</v>
      </c>
      <c r="J351" s="4" t="s">
        <v>813</v>
      </c>
      <c r="K351" s="6"/>
      <c r="L351" s="6"/>
      <c r="M351" s="6"/>
      <c r="N351" s="6"/>
      <c r="P351" s="4" t="s">
        <v>813</v>
      </c>
    </row>
    <row r="352" spans="1:16" x14ac:dyDescent="0.25">
      <c r="A352" s="3" t="str">
        <f t="shared" si="5"/>
        <v>CUINO81</v>
      </c>
      <c r="B352" s="3" t="s">
        <v>226</v>
      </c>
      <c r="C352" s="3" t="s">
        <v>147</v>
      </c>
      <c r="D352" s="3" t="s">
        <v>105</v>
      </c>
      <c r="E352" s="3" t="s">
        <v>99</v>
      </c>
      <c r="F352" s="3" t="s">
        <v>152</v>
      </c>
      <c r="G352" s="4" t="s">
        <v>146</v>
      </c>
      <c r="H352" s="7">
        <v>1</v>
      </c>
      <c r="I352" s="4" t="s">
        <v>91</v>
      </c>
      <c r="J352" s="4" t="s">
        <v>813</v>
      </c>
      <c r="K352" s="6"/>
      <c r="L352" s="6"/>
      <c r="M352" s="6"/>
      <c r="N352" s="6"/>
      <c r="P352" s="4" t="s">
        <v>813</v>
      </c>
    </row>
    <row r="353" spans="1:16" x14ac:dyDescent="0.25">
      <c r="A353" s="3" t="str">
        <f t="shared" si="5"/>
        <v>DAEDY81</v>
      </c>
      <c r="B353" s="3" t="s">
        <v>227</v>
      </c>
      <c r="C353" s="3" t="s">
        <v>147</v>
      </c>
      <c r="D353" s="3" t="s">
        <v>150</v>
      </c>
      <c r="E353" s="3" t="s">
        <v>99</v>
      </c>
      <c r="F353" s="3" t="s">
        <v>152</v>
      </c>
      <c r="G353" s="4" t="s">
        <v>425</v>
      </c>
      <c r="H353" s="7">
        <v>1</v>
      </c>
      <c r="I353" s="4" t="s">
        <v>91</v>
      </c>
      <c r="J353" s="4" t="s">
        <v>813</v>
      </c>
      <c r="K353" s="6"/>
      <c r="L353" s="6"/>
      <c r="M353" s="6"/>
      <c r="N353" s="6"/>
      <c r="P353" s="4" t="s">
        <v>813</v>
      </c>
    </row>
    <row r="354" spans="1:16" x14ac:dyDescent="0.25">
      <c r="A354" s="3" t="str">
        <f t="shared" si="5"/>
        <v>DEDEO81</v>
      </c>
      <c r="B354" s="3" t="s">
        <v>228</v>
      </c>
      <c r="C354" s="3" t="s">
        <v>147</v>
      </c>
      <c r="D354" s="3" t="s">
        <v>103</v>
      </c>
      <c r="E354" s="3" t="s">
        <v>99</v>
      </c>
      <c r="F354" s="3" t="s">
        <v>152</v>
      </c>
      <c r="G354" s="4" t="s">
        <v>427</v>
      </c>
      <c r="H354" s="7">
        <v>2</v>
      </c>
      <c r="I354" s="4" t="s">
        <v>89</v>
      </c>
      <c r="J354" s="4" t="s">
        <v>813</v>
      </c>
      <c r="K354" s="6"/>
      <c r="L354" s="6"/>
      <c r="M354" s="6"/>
      <c r="N354" s="6"/>
      <c r="P354" s="4" t="s">
        <v>813</v>
      </c>
    </row>
    <row r="355" spans="1:16" x14ac:dyDescent="0.25">
      <c r="A355" s="3" t="str">
        <f t="shared" si="5"/>
        <v>DIILO91</v>
      </c>
      <c r="B355" s="3" t="s">
        <v>230</v>
      </c>
      <c r="C355" s="3" t="s">
        <v>147</v>
      </c>
      <c r="D355" s="3" t="s">
        <v>104</v>
      </c>
      <c r="E355" s="3" t="s">
        <v>99</v>
      </c>
      <c r="F355" s="3" t="s">
        <v>152</v>
      </c>
      <c r="G355" s="4" t="s">
        <v>429</v>
      </c>
      <c r="H355" s="7">
        <v>2</v>
      </c>
      <c r="I355" s="4" t="s">
        <v>89</v>
      </c>
      <c r="J355" s="4" t="s">
        <v>813</v>
      </c>
      <c r="K355" s="6"/>
      <c r="L355" s="6"/>
      <c r="M355" s="6"/>
      <c r="N355" s="6"/>
      <c r="P355" s="4" t="s">
        <v>813</v>
      </c>
    </row>
    <row r="356" spans="1:16" x14ac:dyDescent="0.25">
      <c r="A356" s="3" t="str">
        <f t="shared" si="5"/>
        <v>ECMER91</v>
      </c>
      <c r="B356" s="3" t="s">
        <v>708</v>
      </c>
      <c r="C356" s="3" t="s">
        <v>147</v>
      </c>
      <c r="D356" s="3" t="s">
        <v>105</v>
      </c>
      <c r="E356" s="3" t="s">
        <v>99</v>
      </c>
      <c r="F356" s="3" t="s">
        <v>152</v>
      </c>
      <c r="G356" s="4" t="s">
        <v>430</v>
      </c>
      <c r="H356" s="7">
        <v>1</v>
      </c>
      <c r="I356" s="4" t="s">
        <v>91</v>
      </c>
      <c r="J356" s="4" t="s">
        <v>813</v>
      </c>
      <c r="K356" s="6"/>
      <c r="L356" s="6"/>
      <c r="M356" s="6"/>
      <c r="N356" s="6"/>
      <c r="P356" s="4" t="s">
        <v>813</v>
      </c>
    </row>
    <row r="357" spans="1:16" x14ac:dyDescent="0.25">
      <c r="A357" s="3" t="str">
        <f t="shared" si="5"/>
        <v>EGIEL91</v>
      </c>
      <c r="B357" s="3" t="s">
        <v>710</v>
      </c>
      <c r="C357" s="3" t="s">
        <v>147</v>
      </c>
      <c r="D357" s="3" t="s">
        <v>104</v>
      </c>
      <c r="E357" s="3" t="s">
        <v>99</v>
      </c>
      <c r="F357" s="3" t="s">
        <v>152</v>
      </c>
      <c r="G357" s="4" t="s">
        <v>433</v>
      </c>
      <c r="H357" s="7">
        <v>2</v>
      </c>
      <c r="I357" s="4" t="s">
        <v>89</v>
      </c>
      <c r="J357" s="4" t="s">
        <v>813</v>
      </c>
      <c r="K357" s="6"/>
      <c r="L357" s="6"/>
      <c r="M357" s="6"/>
      <c r="N357" s="6"/>
      <c r="P357" s="4" t="s">
        <v>813</v>
      </c>
    </row>
    <row r="358" spans="1:16" x14ac:dyDescent="0.25">
      <c r="A358" s="3" t="str">
        <f t="shared" si="5"/>
        <v>ESNDO101</v>
      </c>
      <c r="B358" s="3" t="s">
        <v>242</v>
      </c>
      <c r="C358" s="3" t="s">
        <v>147</v>
      </c>
      <c r="D358" s="3" t="s">
        <v>104</v>
      </c>
      <c r="E358" s="3" t="s">
        <v>99</v>
      </c>
      <c r="F358" s="3" t="s">
        <v>152</v>
      </c>
      <c r="G358" s="4" t="s">
        <v>437</v>
      </c>
      <c r="H358" s="7">
        <v>2</v>
      </c>
      <c r="I358" s="4" t="s">
        <v>91</v>
      </c>
      <c r="J358" s="4" t="s">
        <v>794</v>
      </c>
      <c r="K358" s="6"/>
      <c r="L358" s="6"/>
      <c r="M358" s="6"/>
      <c r="N358" s="6"/>
      <c r="P358" s="4" t="s">
        <v>794</v>
      </c>
    </row>
    <row r="359" spans="1:16" x14ac:dyDescent="0.25">
      <c r="A359" s="3" t="str">
        <f t="shared" si="5"/>
        <v>FANIO101</v>
      </c>
      <c r="B359" s="3" t="s">
        <v>244</v>
      </c>
      <c r="C359" s="3" t="s">
        <v>147</v>
      </c>
      <c r="D359" s="3" t="s">
        <v>105</v>
      </c>
      <c r="E359" s="3" t="s">
        <v>99</v>
      </c>
      <c r="F359" s="3" t="s">
        <v>152</v>
      </c>
      <c r="G359" s="4" t="s">
        <v>437</v>
      </c>
      <c r="H359" s="7">
        <v>2</v>
      </c>
      <c r="I359" s="4" t="s">
        <v>89</v>
      </c>
      <c r="J359" s="4" t="s">
        <v>794</v>
      </c>
      <c r="K359" s="6"/>
      <c r="L359" s="6"/>
      <c r="M359" s="6"/>
      <c r="N359" s="6"/>
      <c r="P359" s="4" t="s">
        <v>794</v>
      </c>
    </row>
    <row r="360" spans="1:16" x14ac:dyDescent="0.25">
      <c r="A360" s="3" t="str">
        <f t="shared" si="5"/>
        <v>FAGEL111</v>
      </c>
      <c r="B360" s="3" t="s">
        <v>246</v>
      </c>
      <c r="C360" s="3" t="s">
        <v>147</v>
      </c>
      <c r="D360" s="3" t="s">
        <v>103</v>
      </c>
      <c r="E360" s="3" t="s">
        <v>99</v>
      </c>
      <c r="F360" s="3" t="s">
        <v>152</v>
      </c>
      <c r="G360" s="4" t="s">
        <v>438</v>
      </c>
      <c r="H360" s="7">
        <v>1</v>
      </c>
      <c r="I360" s="4" t="s">
        <v>90</v>
      </c>
      <c r="J360" s="4" t="s">
        <v>797</v>
      </c>
      <c r="K360" s="6"/>
      <c r="L360" s="6"/>
      <c r="M360" s="6"/>
      <c r="N360" s="6"/>
      <c r="P360" s="4" t="s">
        <v>797</v>
      </c>
    </row>
    <row r="361" spans="1:16" x14ac:dyDescent="0.25">
      <c r="A361" s="3" t="str">
        <f t="shared" si="5"/>
        <v>FEROY111</v>
      </c>
      <c r="B361" s="3" t="s">
        <v>247</v>
      </c>
      <c r="C361" s="3" t="s">
        <v>147</v>
      </c>
      <c r="D361" s="3" t="s">
        <v>150</v>
      </c>
      <c r="E361" s="3" t="s">
        <v>99</v>
      </c>
      <c r="F361" s="3" t="s">
        <v>152</v>
      </c>
      <c r="G361" s="4" t="s">
        <v>439</v>
      </c>
      <c r="H361" s="7">
        <v>1</v>
      </c>
      <c r="I361" s="4" t="s">
        <v>89</v>
      </c>
      <c r="J361" s="4" t="s">
        <v>794</v>
      </c>
      <c r="K361" s="6"/>
      <c r="L361" s="6"/>
      <c r="M361" s="6"/>
      <c r="N361" s="6"/>
      <c r="P361" s="4" t="s">
        <v>794</v>
      </c>
    </row>
    <row r="362" spans="1:16" x14ac:dyDescent="0.25">
      <c r="A362" s="3" t="str">
        <f t="shared" si="5"/>
        <v>FLSTO121</v>
      </c>
      <c r="B362" s="3" t="s">
        <v>249</v>
      </c>
      <c r="C362" s="3" t="s">
        <v>147</v>
      </c>
      <c r="D362" s="3" t="s">
        <v>150</v>
      </c>
      <c r="E362" s="3" t="s">
        <v>99</v>
      </c>
      <c r="F362" s="3" t="s">
        <v>152</v>
      </c>
      <c r="G362" s="4" t="s">
        <v>440</v>
      </c>
      <c r="H362" s="7">
        <v>2</v>
      </c>
      <c r="I362" s="4" t="s">
        <v>89</v>
      </c>
      <c r="J362" s="4" t="s">
        <v>794</v>
      </c>
      <c r="K362" s="6"/>
      <c r="L362" s="6"/>
      <c r="M362" s="6"/>
      <c r="N362" s="6"/>
      <c r="P362" s="4" t="s">
        <v>794</v>
      </c>
    </row>
    <row r="363" spans="1:16" x14ac:dyDescent="0.25">
      <c r="A363" s="3" t="str">
        <f t="shared" si="5"/>
        <v>GAICK121</v>
      </c>
      <c r="B363" s="3" t="s">
        <v>252</v>
      </c>
      <c r="C363" s="3" t="s">
        <v>147</v>
      </c>
      <c r="D363" s="3" t="s">
        <v>105</v>
      </c>
      <c r="E363" s="3" t="s">
        <v>99</v>
      </c>
      <c r="F363" s="3" t="s">
        <v>152</v>
      </c>
      <c r="G363" s="4" t="s">
        <v>443</v>
      </c>
      <c r="H363" s="7">
        <v>1</v>
      </c>
      <c r="I363" s="4" t="s">
        <v>92</v>
      </c>
      <c r="J363" s="4" t="s">
        <v>794</v>
      </c>
      <c r="K363" s="6"/>
      <c r="L363" s="6"/>
      <c r="M363" s="6"/>
      <c r="N363" s="6"/>
      <c r="P363" s="4" t="s">
        <v>794</v>
      </c>
    </row>
    <row r="364" spans="1:16" x14ac:dyDescent="0.25">
      <c r="A364" s="3" t="str">
        <f t="shared" si="5"/>
        <v>GATER121</v>
      </c>
      <c r="B364" s="3" t="s">
        <v>253</v>
      </c>
      <c r="C364" s="3" t="s">
        <v>147</v>
      </c>
      <c r="D364" s="3" t="s">
        <v>150</v>
      </c>
      <c r="E364" s="3" t="s">
        <v>99</v>
      </c>
      <c r="F364" s="3" t="s">
        <v>152</v>
      </c>
      <c r="G364" s="4" t="s">
        <v>444</v>
      </c>
      <c r="H364" s="7"/>
      <c r="I364" s="4" t="s">
        <v>89</v>
      </c>
      <c r="J364" s="4" t="s">
        <v>794</v>
      </c>
      <c r="K364" s="6"/>
      <c r="L364" s="6"/>
      <c r="M364" s="6"/>
      <c r="N364" s="6"/>
      <c r="P364" s="4" t="s">
        <v>794</v>
      </c>
    </row>
    <row r="365" spans="1:16" x14ac:dyDescent="0.25">
      <c r="A365" s="3" t="str">
        <f t="shared" si="5"/>
        <v>GOTER72</v>
      </c>
      <c r="B365" s="3" t="s">
        <v>259</v>
      </c>
      <c r="C365" s="3" t="s">
        <v>147</v>
      </c>
      <c r="D365" s="3" t="s">
        <v>105</v>
      </c>
      <c r="E365" s="3" t="s">
        <v>99</v>
      </c>
      <c r="F365" s="3" t="s">
        <v>152</v>
      </c>
      <c r="G365" s="4" t="s">
        <v>448</v>
      </c>
      <c r="H365" s="7">
        <v>1</v>
      </c>
      <c r="I365" s="4" t="s">
        <v>92</v>
      </c>
      <c r="J365" s="4" t="s">
        <v>794</v>
      </c>
      <c r="K365" s="6"/>
      <c r="L365" s="6"/>
      <c r="M365" s="6"/>
      <c r="N365" s="6"/>
      <c r="P365" s="4" t="s">
        <v>794</v>
      </c>
    </row>
    <row r="366" spans="1:16" x14ac:dyDescent="0.25">
      <c r="A366" s="3" t="str">
        <f t="shared" si="5"/>
        <v>GUGER73</v>
      </c>
      <c r="B366" s="3" t="s">
        <v>264</v>
      </c>
      <c r="C366" s="3" t="s">
        <v>147</v>
      </c>
      <c r="D366" s="3" t="s">
        <v>105</v>
      </c>
      <c r="E366" s="3" t="s">
        <v>99</v>
      </c>
      <c r="F366" s="3" t="s">
        <v>152</v>
      </c>
      <c r="G366" s="4" t="s">
        <v>456</v>
      </c>
      <c r="H366" s="7">
        <v>1</v>
      </c>
      <c r="I366" s="4" t="s">
        <v>89</v>
      </c>
      <c r="J366" s="4" t="s">
        <v>794</v>
      </c>
      <c r="K366" s="6"/>
      <c r="L366" s="6"/>
      <c r="M366" s="6"/>
      <c r="N366" s="6"/>
      <c r="P366" s="4" t="s">
        <v>794</v>
      </c>
    </row>
    <row r="367" spans="1:16" x14ac:dyDescent="0.25">
      <c r="A367" s="3" t="str">
        <f t="shared" si="5"/>
        <v>GUMAN83</v>
      </c>
      <c r="B367" s="3" t="s">
        <v>265</v>
      </c>
      <c r="C367" s="3" t="s">
        <v>147</v>
      </c>
      <c r="D367" s="3" t="s">
        <v>103</v>
      </c>
      <c r="E367" s="3" t="s">
        <v>99</v>
      </c>
      <c r="F367" s="3" t="s">
        <v>152</v>
      </c>
      <c r="G367" s="4" t="s">
        <v>457</v>
      </c>
      <c r="H367" s="7"/>
      <c r="I367" s="4" t="s">
        <v>91</v>
      </c>
      <c r="J367" s="4" t="s">
        <v>794</v>
      </c>
      <c r="K367" s="6"/>
      <c r="L367" s="6"/>
      <c r="M367" s="6"/>
      <c r="N367" s="6"/>
      <c r="P367" s="4" t="s">
        <v>794</v>
      </c>
    </row>
    <row r="368" spans="1:16" x14ac:dyDescent="0.25">
      <c r="A368" s="3" t="str">
        <f t="shared" si="5"/>
        <v>HARDO93</v>
      </c>
      <c r="B368" s="3" t="s">
        <v>266</v>
      </c>
      <c r="C368" s="3" t="s">
        <v>147</v>
      </c>
      <c r="D368" s="3" t="s">
        <v>150</v>
      </c>
      <c r="E368" s="3" t="s">
        <v>99</v>
      </c>
      <c r="F368" s="3" t="s">
        <v>152</v>
      </c>
      <c r="G368" s="4" t="s">
        <v>458</v>
      </c>
      <c r="H368" s="7">
        <v>1</v>
      </c>
      <c r="I368" s="4" t="s">
        <v>90</v>
      </c>
      <c r="J368" s="4" t="s">
        <v>794</v>
      </c>
      <c r="K368" s="6"/>
      <c r="L368" s="6"/>
      <c r="M368" s="6"/>
      <c r="N368" s="6"/>
      <c r="P368" s="4" t="s">
        <v>794</v>
      </c>
    </row>
    <row r="369" spans="1:16" x14ac:dyDescent="0.25">
      <c r="A369" s="3" t="str">
        <f t="shared" si="5"/>
        <v>HUAAC35</v>
      </c>
      <c r="B369" s="3" t="s">
        <v>282</v>
      </c>
      <c r="C369" s="3" t="s">
        <v>147</v>
      </c>
      <c r="D369" s="3" t="s">
        <v>103</v>
      </c>
      <c r="E369" s="3" t="s">
        <v>99</v>
      </c>
      <c r="F369" s="3" t="s">
        <v>152</v>
      </c>
      <c r="G369" s="4" t="s">
        <v>474</v>
      </c>
      <c r="H369" s="7">
        <v>2</v>
      </c>
      <c r="I369" s="4" t="s">
        <v>89</v>
      </c>
      <c r="J369" s="4" t="s">
        <v>794</v>
      </c>
      <c r="K369" s="6"/>
      <c r="L369" s="6"/>
      <c r="M369" s="6"/>
      <c r="N369" s="6"/>
      <c r="P369" s="4" t="s">
        <v>794</v>
      </c>
    </row>
    <row r="370" spans="1:16" x14ac:dyDescent="0.25">
      <c r="A370" s="3" t="str">
        <f t="shared" si="5"/>
        <v>HUSAR55</v>
      </c>
      <c r="B370" s="3" t="s">
        <v>287</v>
      </c>
      <c r="C370" s="3" t="s">
        <v>147</v>
      </c>
      <c r="D370" s="3" t="s">
        <v>103</v>
      </c>
      <c r="E370" s="3" t="s">
        <v>99</v>
      </c>
      <c r="F370" s="3" t="s">
        <v>152</v>
      </c>
      <c r="G370" s="4" t="s">
        <v>478</v>
      </c>
      <c r="H370" s="7">
        <v>3</v>
      </c>
      <c r="I370" s="4" t="s">
        <v>89</v>
      </c>
      <c r="J370" s="4" t="s">
        <v>820</v>
      </c>
      <c r="K370" s="6"/>
      <c r="L370" s="6"/>
      <c r="M370" s="6"/>
      <c r="N370" s="6"/>
      <c r="P370" s="4" t="s">
        <v>820</v>
      </c>
    </row>
    <row r="371" spans="1:16" x14ac:dyDescent="0.25">
      <c r="A371" s="3" t="str">
        <f t="shared" si="5"/>
        <v>HUUIS55</v>
      </c>
      <c r="B371" s="3" t="s">
        <v>289</v>
      </c>
      <c r="C371" s="3" t="s">
        <v>147</v>
      </c>
      <c r="D371" s="3" t="s">
        <v>103</v>
      </c>
      <c r="E371" s="3" t="s">
        <v>99</v>
      </c>
      <c r="F371" s="3" t="s">
        <v>152</v>
      </c>
      <c r="G371" s="4" t="s">
        <v>478</v>
      </c>
      <c r="H371" s="7">
        <v>3</v>
      </c>
      <c r="I371" s="4" t="s">
        <v>89</v>
      </c>
      <c r="J371" s="4" t="s">
        <v>827</v>
      </c>
      <c r="K371" s="6"/>
      <c r="L371" s="6"/>
      <c r="M371" s="6"/>
      <c r="N371" s="6"/>
      <c r="P371" s="4" t="s">
        <v>827</v>
      </c>
    </row>
    <row r="372" spans="1:16" x14ac:dyDescent="0.25">
      <c r="A372" s="3" t="str">
        <f t="shared" si="5"/>
        <v>HUSAR94</v>
      </c>
      <c r="B372" s="3" t="s">
        <v>722</v>
      </c>
      <c r="C372" s="3" t="s">
        <v>147</v>
      </c>
      <c r="D372" s="3" t="s">
        <v>105</v>
      </c>
      <c r="E372" s="3" t="s">
        <v>99</v>
      </c>
      <c r="F372" s="3" t="s">
        <v>152</v>
      </c>
      <c r="G372" s="4" t="s">
        <v>470</v>
      </c>
      <c r="H372" s="7">
        <v>3</v>
      </c>
      <c r="I372" s="4" t="s">
        <v>90</v>
      </c>
      <c r="J372" s="4" t="s">
        <v>794</v>
      </c>
      <c r="K372" s="6"/>
      <c r="L372" s="6"/>
      <c r="M372" s="6"/>
      <c r="N372" s="6"/>
      <c r="P372" s="4" t="s">
        <v>794</v>
      </c>
    </row>
    <row r="373" spans="1:16" x14ac:dyDescent="0.25">
      <c r="A373" s="3" t="str">
        <f t="shared" si="5"/>
        <v>IGNDY125</v>
      </c>
      <c r="B373" s="3" t="s">
        <v>725</v>
      </c>
      <c r="C373" s="3" t="s">
        <v>147</v>
      </c>
      <c r="D373" s="3" t="s">
        <v>103</v>
      </c>
      <c r="E373" s="3" t="s">
        <v>99</v>
      </c>
      <c r="F373" s="3" t="s">
        <v>152</v>
      </c>
      <c r="G373" s="4" t="s">
        <v>487</v>
      </c>
      <c r="H373" s="7">
        <v>2</v>
      </c>
      <c r="I373" s="4" t="s">
        <v>89</v>
      </c>
      <c r="J373" s="4" t="s">
        <v>797</v>
      </c>
      <c r="K373" s="6"/>
      <c r="L373" s="6"/>
      <c r="M373" s="6"/>
      <c r="N373" s="6"/>
      <c r="P373" s="4" t="s">
        <v>797</v>
      </c>
    </row>
    <row r="374" spans="1:16" x14ac:dyDescent="0.25">
      <c r="A374" s="3" t="str">
        <f t="shared" si="5"/>
        <v>LANDO116</v>
      </c>
      <c r="B374" s="3" t="s">
        <v>310</v>
      </c>
      <c r="C374" s="3" t="s">
        <v>147</v>
      </c>
      <c r="D374" s="3" t="s">
        <v>105</v>
      </c>
      <c r="E374" s="3" t="s">
        <v>99</v>
      </c>
      <c r="F374" s="3" t="s">
        <v>152</v>
      </c>
      <c r="G374" s="4" t="s">
        <v>499</v>
      </c>
      <c r="H374" s="7">
        <v>1</v>
      </c>
      <c r="I374" s="4" t="s">
        <v>89</v>
      </c>
      <c r="J374" s="4" t="s">
        <v>793</v>
      </c>
      <c r="K374" s="6"/>
      <c r="L374" s="6"/>
      <c r="M374" s="6"/>
      <c r="N374" s="6"/>
      <c r="P374" s="4" t="s">
        <v>793</v>
      </c>
    </row>
    <row r="375" spans="1:16" x14ac:dyDescent="0.25">
      <c r="A375" s="3" t="str">
        <f t="shared" si="5"/>
        <v>LACIO76</v>
      </c>
      <c r="B375" s="3" t="s">
        <v>305</v>
      </c>
      <c r="C375" s="3" t="s">
        <v>147</v>
      </c>
      <c r="D375" s="3" t="s">
        <v>103</v>
      </c>
      <c r="E375" s="3" t="s">
        <v>99</v>
      </c>
      <c r="F375" s="3" t="s">
        <v>152</v>
      </c>
      <c r="G375" s="4" t="s">
        <v>495</v>
      </c>
      <c r="H375" s="7">
        <v>1</v>
      </c>
      <c r="I375" s="4" t="s">
        <v>90</v>
      </c>
      <c r="J375" s="4" t="s">
        <v>794</v>
      </c>
      <c r="K375" s="6"/>
      <c r="L375" s="6"/>
      <c r="M375" s="6"/>
      <c r="N375" s="6"/>
      <c r="P375" s="4" t="s">
        <v>794</v>
      </c>
    </row>
    <row r="376" spans="1:16" x14ac:dyDescent="0.25">
      <c r="A376" s="3" t="str">
        <f t="shared" si="5"/>
        <v>MELIX117</v>
      </c>
      <c r="B376" s="3" t="s">
        <v>741</v>
      </c>
      <c r="C376" s="3" t="s">
        <v>147</v>
      </c>
      <c r="D376" s="3" t="s">
        <v>103</v>
      </c>
      <c r="E376" s="3" t="s">
        <v>99</v>
      </c>
      <c r="F376" s="3" t="s">
        <v>152</v>
      </c>
      <c r="G376" s="4" t="s">
        <v>517</v>
      </c>
      <c r="H376" s="7">
        <v>1</v>
      </c>
      <c r="I376" s="4" t="s">
        <v>92</v>
      </c>
      <c r="J376" s="4" t="s">
        <v>794</v>
      </c>
      <c r="K376" s="6"/>
      <c r="L376" s="6"/>
      <c r="M376" s="6"/>
      <c r="N376" s="6"/>
      <c r="P376" s="4" t="s">
        <v>794</v>
      </c>
    </row>
    <row r="377" spans="1:16" x14ac:dyDescent="0.25">
      <c r="A377" s="3" t="str">
        <f t="shared" si="5"/>
        <v>MEDIS38</v>
      </c>
      <c r="B377" s="3" t="s">
        <v>332</v>
      </c>
      <c r="C377" s="3" t="s">
        <v>147</v>
      </c>
      <c r="D377" s="3" t="s">
        <v>103</v>
      </c>
      <c r="E377" s="3" t="s">
        <v>99</v>
      </c>
      <c r="F377" s="3" t="s">
        <v>152</v>
      </c>
      <c r="G377" s="4" t="s">
        <v>519</v>
      </c>
      <c r="H377" s="7">
        <v>2</v>
      </c>
      <c r="I377" s="4" t="s">
        <v>89</v>
      </c>
      <c r="J377" s="4" t="s">
        <v>794</v>
      </c>
      <c r="K377" s="6"/>
      <c r="L377" s="6"/>
      <c r="M377" s="6"/>
      <c r="N377" s="6"/>
      <c r="P377" s="4" t="s">
        <v>794</v>
      </c>
    </row>
    <row r="378" spans="1:16" x14ac:dyDescent="0.25">
      <c r="A378" s="3" t="str">
        <f t="shared" si="5"/>
        <v>MEUIS87</v>
      </c>
      <c r="B378" s="3" t="s">
        <v>743</v>
      </c>
      <c r="C378" s="3" t="s">
        <v>147</v>
      </c>
      <c r="D378" s="3" t="s">
        <v>103</v>
      </c>
      <c r="E378" s="3" t="s">
        <v>99</v>
      </c>
      <c r="F378" s="3" t="s">
        <v>152</v>
      </c>
      <c r="G378" s="4" t="s">
        <v>513</v>
      </c>
      <c r="H378" s="7">
        <v>1</v>
      </c>
      <c r="I378" s="4" t="s">
        <v>89</v>
      </c>
      <c r="J378" s="4" t="s">
        <v>793</v>
      </c>
      <c r="K378" s="6"/>
      <c r="L378" s="6"/>
      <c r="M378" s="6"/>
      <c r="N378" s="6"/>
      <c r="P378" s="4" t="s">
        <v>793</v>
      </c>
    </row>
    <row r="379" spans="1:16" x14ac:dyDescent="0.25">
      <c r="A379" s="3" t="str">
        <f t="shared" si="5"/>
        <v>MOLIO59</v>
      </c>
      <c r="B379" s="3" t="s">
        <v>745</v>
      </c>
      <c r="C379" s="3" t="s">
        <v>147</v>
      </c>
      <c r="D379" s="3" t="s">
        <v>103</v>
      </c>
      <c r="E379" s="3" t="s">
        <v>99</v>
      </c>
      <c r="F379" s="3" t="s">
        <v>152</v>
      </c>
      <c r="G379" s="4" t="s">
        <v>529</v>
      </c>
      <c r="H379" s="7">
        <v>6</v>
      </c>
      <c r="I379" s="4" t="s">
        <v>91</v>
      </c>
      <c r="J379" s="4" t="s">
        <v>794</v>
      </c>
      <c r="K379" s="6"/>
      <c r="L379" s="6"/>
      <c r="M379" s="6"/>
      <c r="N379" s="6"/>
      <c r="P379" s="4" t="s">
        <v>794</v>
      </c>
    </row>
    <row r="380" spans="1:16" x14ac:dyDescent="0.25">
      <c r="A380" s="3" t="str">
        <f t="shared" si="5"/>
        <v>NOSES79</v>
      </c>
      <c r="B380" s="3" t="s">
        <v>341</v>
      </c>
      <c r="C380" s="3" t="s">
        <v>147</v>
      </c>
      <c r="D380" s="3" t="s">
        <v>103</v>
      </c>
      <c r="E380" s="3" t="s">
        <v>99</v>
      </c>
      <c r="F380" s="3" t="s">
        <v>152</v>
      </c>
      <c r="G380" s="4" t="s">
        <v>531</v>
      </c>
      <c r="H380" s="7">
        <v>2</v>
      </c>
      <c r="I380" s="4" t="s">
        <v>89</v>
      </c>
      <c r="J380" s="4" t="s">
        <v>794</v>
      </c>
      <c r="K380" s="6"/>
      <c r="L380" s="6"/>
      <c r="M380" s="6"/>
      <c r="N380" s="6"/>
      <c r="P380" s="4" t="s">
        <v>794</v>
      </c>
    </row>
    <row r="381" spans="1:16" x14ac:dyDescent="0.25">
      <c r="A381" s="3" t="str">
        <f t="shared" si="5"/>
        <v>NUGAR79</v>
      </c>
      <c r="B381" s="3" t="s">
        <v>343</v>
      </c>
      <c r="C381" s="3" t="s">
        <v>147</v>
      </c>
      <c r="D381" s="3" t="s">
        <v>105</v>
      </c>
      <c r="E381" s="3" t="s">
        <v>99</v>
      </c>
      <c r="F381" s="3" t="s">
        <v>152</v>
      </c>
      <c r="G381" s="4" t="s">
        <v>532</v>
      </c>
      <c r="H381" s="7">
        <v>5</v>
      </c>
      <c r="I381" s="4" t="s">
        <v>90</v>
      </c>
      <c r="J381" s="4" t="s">
        <v>794</v>
      </c>
      <c r="K381" s="6"/>
      <c r="L381" s="6"/>
      <c r="M381" s="6"/>
      <c r="N381" s="6"/>
      <c r="P381" s="4" t="s">
        <v>794</v>
      </c>
    </row>
    <row r="382" spans="1:16" x14ac:dyDescent="0.25">
      <c r="A382" s="3" t="str">
        <f t="shared" si="5"/>
        <v>ORRDO510</v>
      </c>
      <c r="B382" s="3" t="s">
        <v>348</v>
      </c>
      <c r="C382" s="3" t="s">
        <v>147</v>
      </c>
      <c r="D382" s="3" t="s">
        <v>103</v>
      </c>
      <c r="E382" s="3" t="s">
        <v>99</v>
      </c>
      <c r="F382" s="3" t="s">
        <v>152</v>
      </c>
      <c r="G382" s="4" t="s">
        <v>545</v>
      </c>
      <c r="H382" s="7">
        <v>3</v>
      </c>
      <c r="I382" s="4" t="s">
        <v>90</v>
      </c>
      <c r="J382" s="4" t="s">
        <v>793</v>
      </c>
      <c r="K382" s="6"/>
      <c r="L382" s="6"/>
      <c r="M382" s="6"/>
      <c r="N382" s="6"/>
      <c r="P382" s="4" t="s">
        <v>793</v>
      </c>
    </row>
    <row r="383" spans="1:16" x14ac:dyDescent="0.25">
      <c r="A383" s="3" t="str">
        <f t="shared" si="5"/>
        <v>PAMIN111</v>
      </c>
      <c r="B383" s="3" t="s">
        <v>357</v>
      </c>
      <c r="C383" s="3" t="s">
        <v>147</v>
      </c>
      <c r="D383" s="3" t="s">
        <v>105</v>
      </c>
      <c r="E383" s="3" t="s">
        <v>99</v>
      </c>
      <c r="F383" s="3" t="s">
        <v>152</v>
      </c>
      <c r="G383" s="4" t="s">
        <v>555</v>
      </c>
      <c r="H383" s="7"/>
      <c r="I383" s="4" t="s">
        <v>92</v>
      </c>
      <c r="J383" s="4" t="s">
        <v>794</v>
      </c>
      <c r="K383" s="6"/>
      <c r="L383" s="6"/>
      <c r="M383" s="6"/>
      <c r="N383" s="6"/>
      <c r="P383" s="4" t="s">
        <v>794</v>
      </c>
    </row>
    <row r="384" spans="1:16" x14ac:dyDescent="0.25">
      <c r="A384" s="3" t="str">
        <f t="shared" si="5"/>
        <v>PAURO711</v>
      </c>
      <c r="B384" s="3" t="s">
        <v>360</v>
      </c>
      <c r="C384" s="3" t="s">
        <v>147</v>
      </c>
      <c r="D384" s="3" t="s">
        <v>103</v>
      </c>
      <c r="E384" s="3" t="s">
        <v>99</v>
      </c>
      <c r="F384" s="3" t="s">
        <v>152</v>
      </c>
      <c r="G384" s="4" t="s">
        <v>561</v>
      </c>
      <c r="H384" s="7">
        <v>5</v>
      </c>
      <c r="I384" s="4" t="s">
        <v>89</v>
      </c>
      <c r="J384" s="4" t="s">
        <v>794</v>
      </c>
      <c r="K384" s="6"/>
      <c r="L384" s="6"/>
      <c r="M384" s="6"/>
      <c r="N384" s="6"/>
      <c r="P384" s="4" t="s">
        <v>794</v>
      </c>
    </row>
    <row r="385" spans="1:16" x14ac:dyDescent="0.25">
      <c r="A385" s="3" t="str">
        <f t="shared" si="5"/>
        <v>PEOEL811</v>
      </c>
      <c r="B385" s="3" t="s">
        <v>361</v>
      </c>
      <c r="C385" s="3" t="s">
        <v>147</v>
      </c>
      <c r="D385" s="3" t="s">
        <v>104</v>
      </c>
      <c r="E385" s="3" t="s">
        <v>99</v>
      </c>
      <c r="F385" s="3" t="s">
        <v>152</v>
      </c>
      <c r="G385" s="4" t="s">
        <v>563</v>
      </c>
      <c r="H385" s="7">
        <v>1</v>
      </c>
      <c r="I385" s="4" t="s">
        <v>89</v>
      </c>
      <c r="J385" s="4" t="s">
        <v>794</v>
      </c>
      <c r="K385" s="6"/>
      <c r="L385" s="6"/>
      <c r="M385" s="6"/>
      <c r="N385" s="6"/>
      <c r="P385" s="4" t="s">
        <v>794</v>
      </c>
    </row>
    <row r="386" spans="1:16" x14ac:dyDescent="0.25">
      <c r="A386" s="3" t="str">
        <f t="shared" ref="A386:A449" si="6">+CONCATENATE(LEFT(B386,2),RIGHT(B386,3),MONTH(G386),DAY(G386))</f>
        <v>PORTO412</v>
      </c>
      <c r="B386" s="3" t="s">
        <v>366</v>
      </c>
      <c r="C386" s="3" t="s">
        <v>147</v>
      </c>
      <c r="D386" s="3" t="s">
        <v>105</v>
      </c>
      <c r="E386" s="3" t="s">
        <v>99</v>
      </c>
      <c r="F386" s="3" t="s">
        <v>152</v>
      </c>
      <c r="G386" s="4" t="s">
        <v>571</v>
      </c>
      <c r="H386" s="7">
        <v>2</v>
      </c>
      <c r="I386" s="4" t="s">
        <v>91</v>
      </c>
      <c r="J386" s="4" t="s">
        <v>794</v>
      </c>
      <c r="K386" s="6"/>
      <c r="L386" s="6"/>
      <c r="M386" s="6"/>
      <c r="N386" s="6"/>
      <c r="P386" s="4" t="s">
        <v>794</v>
      </c>
    </row>
    <row r="387" spans="1:16" x14ac:dyDescent="0.25">
      <c r="A387" s="3" t="str">
        <f t="shared" si="6"/>
        <v>POINO512</v>
      </c>
      <c r="B387" s="3" t="s">
        <v>367</v>
      </c>
      <c r="C387" s="3" t="s">
        <v>147</v>
      </c>
      <c r="D387" s="3" t="s">
        <v>103</v>
      </c>
      <c r="E387" s="3" t="s">
        <v>99</v>
      </c>
      <c r="F387" s="3" t="s">
        <v>152</v>
      </c>
      <c r="G387" s="4" t="s">
        <v>572</v>
      </c>
      <c r="H387" s="7">
        <v>2</v>
      </c>
      <c r="I387" s="4" t="s">
        <v>92</v>
      </c>
      <c r="J387" s="4" t="s">
        <v>793</v>
      </c>
      <c r="K387" s="6"/>
      <c r="L387" s="6"/>
      <c r="M387" s="6"/>
      <c r="N387" s="6"/>
      <c r="P387" s="4" t="s">
        <v>793</v>
      </c>
    </row>
    <row r="388" spans="1:16" x14ac:dyDescent="0.25">
      <c r="A388" s="3" t="str">
        <f t="shared" si="6"/>
        <v>POGAR512</v>
      </c>
      <c r="B388" s="3" t="s">
        <v>368</v>
      </c>
      <c r="C388" s="3" t="s">
        <v>147</v>
      </c>
      <c r="D388" s="3" t="s">
        <v>103</v>
      </c>
      <c r="E388" s="3" t="s">
        <v>99</v>
      </c>
      <c r="F388" s="3" t="s">
        <v>152</v>
      </c>
      <c r="G388" s="4" t="s">
        <v>572</v>
      </c>
      <c r="H388" s="7"/>
      <c r="I388" s="4" t="s">
        <v>92</v>
      </c>
      <c r="J388" s="4" t="s">
        <v>793</v>
      </c>
      <c r="K388" s="6"/>
      <c r="L388" s="6"/>
      <c r="M388" s="6"/>
      <c r="N388" s="6"/>
      <c r="P388" s="4" t="s">
        <v>793</v>
      </c>
    </row>
    <row r="389" spans="1:16" x14ac:dyDescent="0.25">
      <c r="A389" s="3" t="str">
        <f t="shared" si="6"/>
        <v>PRIME912</v>
      </c>
      <c r="B389" s="3" t="s">
        <v>370</v>
      </c>
      <c r="C389" s="3" t="s">
        <v>147</v>
      </c>
      <c r="D389" s="3" t="s">
        <v>105</v>
      </c>
      <c r="E389" s="3" t="s">
        <v>99</v>
      </c>
      <c r="F389" s="3" t="s">
        <v>152</v>
      </c>
      <c r="G389" s="4" t="s">
        <v>574</v>
      </c>
      <c r="H389" s="7"/>
      <c r="I389" s="4" t="s">
        <v>90</v>
      </c>
      <c r="J389" s="4" t="s">
        <v>794</v>
      </c>
      <c r="K389" s="6"/>
      <c r="L389" s="6"/>
      <c r="M389" s="6"/>
      <c r="N389" s="6"/>
      <c r="P389" s="4" t="s">
        <v>794</v>
      </c>
    </row>
    <row r="390" spans="1:16" x14ac:dyDescent="0.25">
      <c r="A390" s="3" t="str">
        <f t="shared" si="6"/>
        <v>RANIO1113</v>
      </c>
      <c r="B390" s="3" t="s">
        <v>379</v>
      </c>
      <c r="C390" s="3" t="s">
        <v>147</v>
      </c>
      <c r="D390" s="3" t="s">
        <v>105</v>
      </c>
      <c r="E390" s="3" t="s">
        <v>99</v>
      </c>
      <c r="F390" s="3" t="s">
        <v>152</v>
      </c>
      <c r="G390" s="4" t="s">
        <v>589</v>
      </c>
      <c r="H390" s="7">
        <v>2</v>
      </c>
      <c r="I390" s="4" t="s">
        <v>90</v>
      </c>
      <c r="J390" s="4" t="s">
        <v>794</v>
      </c>
      <c r="K390" s="6"/>
      <c r="L390" s="6"/>
      <c r="M390" s="6"/>
      <c r="N390" s="6"/>
      <c r="P390" s="4" t="s">
        <v>794</v>
      </c>
    </row>
    <row r="391" spans="1:16" x14ac:dyDescent="0.25">
      <c r="A391" s="3" t="str">
        <f t="shared" si="6"/>
        <v>RITIN1014</v>
      </c>
      <c r="B391" s="3" t="s">
        <v>390</v>
      </c>
      <c r="C391" s="3" t="s">
        <v>147</v>
      </c>
      <c r="D391" s="3" t="s">
        <v>105</v>
      </c>
      <c r="E391" s="3" t="s">
        <v>99</v>
      </c>
      <c r="F391" s="3" t="s">
        <v>152</v>
      </c>
      <c r="G391" s="4" t="s">
        <v>602</v>
      </c>
      <c r="H391" s="7">
        <v>2</v>
      </c>
      <c r="I391" s="4" t="s">
        <v>89</v>
      </c>
      <c r="J391" s="4" t="s">
        <v>794</v>
      </c>
      <c r="K391" s="6"/>
      <c r="L391" s="6"/>
      <c r="M391" s="6"/>
      <c r="N391" s="6"/>
      <c r="P391" s="4" t="s">
        <v>794</v>
      </c>
    </row>
    <row r="392" spans="1:16" x14ac:dyDescent="0.25">
      <c r="A392" s="3" t="str">
        <f t="shared" si="6"/>
        <v>RIRCO1214</v>
      </c>
      <c r="B392" s="3" t="s">
        <v>774</v>
      </c>
      <c r="C392" s="3" t="s">
        <v>147</v>
      </c>
      <c r="D392" s="3" t="s">
        <v>105</v>
      </c>
      <c r="E392" s="3" t="s">
        <v>99</v>
      </c>
      <c r="F392" s="3" t="s">
        <v>152</v>
      </c>
      <c r="G392" s="4" t="s">
        <v>604</v>
      </c>
      <c r="H392" s="7">
        <v>3</v>
      </c>
      <c r="I392" s="4" t="s">
        <v>90</v>
      </c>
      <c r="J392" s="4" t="s">
        <v>794</v>
      </c>
      <c r="K392" s="6"/>
      <c r="L392" s="6"/>
      <c r="M392" s="6"/>
      <c r="N392" s="6"/>
      <c r="P392" s="4" t="s">
        <v>794</v>
      </c>
    </row>
    <row r="393" spans="1:16" x14ac:dyDescent="0.25">
      <c r="A393" s="3" t="str">
        <f t="shared" si="6"/>
        <v>RIOLI215</v>
      </c>
      <c r="B393" s="3" t="s">
        <v>392</v>
      </c>
      <c r="C393" s="3" t="s">
        <v>147</v>
      </c>
      <c r="D393" s="3" t="s">
        <v>105</v>
      </c>
      <c r="E393" s="3" t="s">
        <v>99</v>
      </c>
      <c r="F393" s="3" t="s">
        <v>152</v>
      </c>
      <c r="G393" s="4" t="s">
        <v>607</v>
      </c>
      <c r="H393" s="7"/>
      <c r="I393" s="4" t="s">
        <v>89</v>
      </c>
      <c r="J393" s="4" t="s">
        <v>794</v>
      </c>
      <c r="K393" s="6"/>
      <c r="L393" s="6"/>
      <c r="M393" s="6"/>
      <c r="N393" s="6"/>
      <c r="P393" s="4" t="s">
        <v>794</v>
      </c>
    </row>
    <row r="394" spans="1:16" x14ac:dyDescent="0.25">
      <c r="A394" s="3" t="str">
        <f t="shared" si="6"/>
        <v>RIANO614</v>
      </c>
      <c r="B394" s="3" t="s">
        <v>775</v>
      </c>
      <c r="C394" s="3" t="s">
        <v>147</v>
      </c>
      <c r="D394" s="3" t="s">
        <v>150</v>
      </c>
      <c r="E394" s="3" t="s">
        <v>99</v>
      </c>
      <c r="F394" s="3" t="s">
        <v>152</v>
      </c>
      <c r="G394" s="4" t="s">
        <v>598</v>
      </c>
      <c r="H394" s="7">
        <v>2</v>
      </c>
      <c r="I394" s="4" t="s">
        <v>90</v>
      </c>
      <c r="J394" s="4" t="s">
        <v>794</v>
      </c>
      <c r="K394" s="6"/>
      <c r="L394" s="6"/>
      <c r="M394" s="6"/>
      <c r="N394" s="6"/>
      <c r="P394" s="4" t="s">
        <v>794</v>
      </c>
    </row>
    <row r="395" spans="1:16" x14ac:dyDescent="0.25">
      <c r="A395" s="3" t="str">
        <f t="shared" si="6"/>
        <v>RIIME914</v>
      </c>
      <c r="B395" s="3" t="s">
        <v>389</v>
      </c>
      <c r="C395" s="3" t="s">
        <v>147</v>
      </c>
      <c r="D395" s="3" t="s">
        <v>105</v>
      </c>
      <c r="E395" s="3" t="s">
        <v>99</v>
      </c>
      <c r="F395" s="3" t="s">
        <v>152</v>
      </c>
      <c r="G395" s="4" t="s">
        <v>601</v>
      </c>
      <c r="H395" s="7">
        <v>3</v>
      </c>
      <c r="I395" s="4" t="s">
        <v>89</v>
      </c>
      <c r="J395" s="4" t="s">
        <v>794</v>
      </c>
      <c r="K395" s="6"/>
      <c r="L395" s="6"/>
      <c r="M395" s="6"/>
      <c r="N395" s="6"/>
      <c r="P395" s="4" t="s">
        <v>794</v>
      </c>
    </row>
    <row r="396" spans="1:16" x14ac:dyDescent="0.25">
      <c r="A396" s="3" t="str">
        <f t="shared" si="6"/>
        <v>ROUEL216</v>
      </c>
      <c r="B396" s="3" t="s">
        <v>403</v>
      </c>
      <c r="C396" s="3" t="s">
        <v>147</v>
      </c>
      <c r="D396" s="3" t="s">
        <v>105</v>
      </c>
      <c r="E396" s="3" t="s">
        <v>99</v>
      </c>
      <c r="F396" s="3" t="s">
        <v>152</v>
      </c>
      <c r="G396" s="4" t="s">
        <v>623</v>
      </c>
      <c r="H396" s="7">
        <v>2</v>
      </c>
      <c r="I396" s="4" t="s">
        <v>92</v>
      </c>
      <c r="J396" s="4" t="s">
        <v>794</v>
      </c>
      <c r="K396" s="6"/>
      <c r="L396" s="6"/>
      <c r="M396" s="6"/>
      <c r="N396" s="6"/>
      <c r="P396" s="4" t="s">
        <v>794</v>
      </c>
    </row>
    <row r="397" spans="1:16" x14ac:dyDescent="0.25">
      <c r="A397" s="3" t="str">
        <f t="shared" si="6"/>
        <v>ROAEL515</v>
      </c>
      <c r="B397" s="3" t="s">
        <v>780</v>
      </c>
      <c r="C397" s="3" t="s">
        <v>147</v>
      </c>
      <c r="D397" s="3" t="s">
        <v>103</v>
      </c>
      <c r="E397" s="3" t="s">
        <v>99</v>
      </c>
      <c r="F397" s="3" t="s">
        <v>152</v>
      </c>
      <c r="G397" s="4" t="s">
        <v>615</v>
      </c>
      <c r="H397" s="7">
        <v>4</v>
      </c>
      <c r="I397" s="4" t="s">
        <v>90</v>
      </c>
      <c r="J397" s="4" t="s">
        <v>794</v>
      </c>
      <c r="K397" s="6"/>
      <c r="L397" s="6"/>
      <c r="M397" s="6"/>
      <c r="N397" s="6"/>
      <c r="P397" s="4" t="s">
        <v>794</v>
      </c>
    </row>
    <row r="398" spans="1:16" x14ac:dyDescent="0.25">
      <c r="A398" s="3" t="str">
        <f t="shared" si="6"/>
        <v>ROIPE815</v>
      </c>
      <c r="B398" s="3" t="s">
        <v>399</v>
      </c>
      <c r="C398" s="3" t="s">
        <v>147</v>
      </c>
      <c r="D398" s="3" t="s">
        <v>103</v>
      </c>
      <c r="E398" s="3" t="s">
        <v>99</v>
      </c>
      <c r="F398" s="3" t="s">
        <v>152</v>
      </c>
      <c r="G398" s="4" t="s">
        <v>619</v>
      </c>
      <c r="H398" s="7">
        <v>2</v>
      </c>
      <c r="I398" s="4" t="s">
        <v>89</v>
      </c>
      <c r="J398" s="4" t="s">
        <v>794</v>
      </c>
      <c r="K398" s="6"/>
      <c r="L398" s="6"/>
      <c r="M398" s="6"/>
      <c r="N398" s="6"/>
      <c r="P398" s="4" t="s">
        <v>794</v>
      </c>
    </row>
    <row r="399" spans="1:16" x14ac:dyDescent="0.25">
      <c r="A399" s="3" t="str">
        <f t="shared" si="6"/>
        <v>SAGEL1117</v>
      </c>
      <c r="B399" s="3" t="s">
        <v>782</v>
      </c>
      <c r="C399" s="3" t="s">
        <v>147</v>
      </c>
      <c r="D399" s="3" t="s">
        <v>105</v>
      </c>
      <c r="E399" s="3" t="s">
        <v>99</v>
      </c>
      <c r="F399" s="3" t="s">
        <v>152</v>
      </c>
      <c r="G399" s="4" t="s">
        <v>640</v>
      </c>
      <c r="H399" s="7">
        <v>1</v>
      </c>
      <c r="I399" s="4" t="s">
        <v>89</v>
      </c>
      <c r="J399" s="4" t="s">
        <v>794</v>
      </c>
      <c r="K399" s="6"/>
      <c r="L399" s="6"/>
      <c r="M399" s="6"/>
      <c r="N399" s="6"/>
      <c r="P399" s="4" t="s">
        <v>794</v>
      </c>
    </row>
    <row r="400" spans="1:16" x14ac:dyDescent="0.25">
      <c r="A400" s="3" t="str">
        <f t="shared" si="6"/>
        <v>ALGEL11</v>
      </c>
      <c r="B400" s="3" t="s">
        <v>77</v>
      </c>
      <c r="C400" s="3" t="s">
        <v>147</v>
      </c>
      <c r="D400" s="3" t="s">
        <v>105</v>
      </c>
      <c r="E400" s="3" t="s">
        <v>99</v>
      </c>
      <c r="F400" s="3" t="s">
        <v>155</v>
      </c>
      <c r="G400" s="4" t="s">
        <v>115</v>
      </c>
      <c r="H400" s="7">
        <v>1</v>
      </c>
      <c r="I400" s="4" t="s">
        <v>92</v>
      </c>
      <c r="J400" s="4" t="s">
        <v>793</v>
      </c>
      <c r="K400" s="6"/>
      <c r="L400" s="6"/>
      <c r="M400" s="6"/>
      <c r="N400" s="6"/>
      <c r="P400" s="4" t="s">
        <v>793</v>
      </c>
    </row>
    <row r="401" spans="1:16" x14ac:dyDescent="0.25">
      <c r="A401" s="3" t="str">
        <f t="shared" si="6"/>
        <v>ALOLO21</v>
      </c>
      <c r="B401" s="3" t="s">
        <v>75</v>
      </c>
      <c r="C401" s="3" t="s">
        <v>147</v>
      </c>
      <c r="D401" s="3" t="s">
        <v>103</v>
      </c>
      <c r="E401" s="3" t="s">
        <v>99</v>
      </c>
      <c r="F401" s="3" t="s">
        <v>155</v>
      </c>
      <c r="G401" s="4" t="s">
        <v>116</v>
      </c>
      <c r="H401" s="7">
        <v>1</v>
      </c>
      <c r="I401" s="4" t="s">
        <v>89</v>
      </c>
      <c r="J401" s="4" t="s">
        <v>793</v>
      </c>
      <c r="K401" s="6"/>
      <c r="L401" s="6"/>
      <c r="M401" s="6"/>
      <c r="N401" s="6"/>
      <c r="P401" s="4" t="s">
        <v>793</v>
      </c>
    </row>
    <row r="402" spans="1:16" x14ac:dyDescent="0.25">
      <c r="A402" s="3" t="str">
        <f t="shared" si="6"/>
        <v>ATINO31</v>
      </c>
      <c r="B402" s="3" t="s">
        <v>86</v>
      </c>
      <c r="C402" s="3" t="s">
        <v>147</v>
      </c>
      <c r="D402" s="3" t="s">
        <v>103</v>
      </c>
      <c r="E402" s="3" t="s">
        <v>99</v>
      </c>
      <c r="F402" s="3" t="s">
        <v>155</v>
      </c>
      <c r="G402" s="4" t="s">
        <v>125</v>
      </c>
      <c r="H402" s="7">
        <v>4</v>
      </c>
      <c r="I402" s="4" t="s">
        <v>89</v>
      </c>
      <c r="J402" s="4" t="s">
        <v>793</v>
      </c>
      <c r="K402" s="6"/>
      <c r="L402" s="6"/>
      <c r="M402" s="6"/>
      <c r="N402" s="6"/>
      <c r="P402" s="4" t="s">
        <v>793</v>
      </c>
    </row>
    <row r="403" spans="1:16" x14ac:dyDescent="0.25">
      <c r="A403" s="3" t="str">
        <f t="shared" si="6"/>
        <v>AYDEL31</v>
      </c>
      <c r="B403" s="3" t="s">
        <v>682</v>
      </c>
      <c r="C403" s="3" t="s">
        <v>147</v>
      </c>
      <c r="D403" s="3" t="s">
        <v>103</v>
      </c>
      <c r="E403" s="3" t="s">
        <v>99</v>
      </c>
      <c r="F403" s="3" t="s">
        <v>155</v>
      </c>
      <c r="G403" s="4" t="s">
        <v>125</v>
      </c>
      <c r="H403" s="7">
        <v>4</v>
      </c>
      <c r="I403" s="4" t="s">
        <v>90</v>
      </c>
      <c r="J403" s="4" t="s">
        <v>813</v>
      </c>
      <c r="K403" s="6"/>
      <c r="L403" s="6"/>
      <c r="M403" s="6"/>
      <c r="N403" s="6"/>
      <c r="P403" s="4" t="s">
        <v>813</v>
      </c>
    </row>
    <row r="404" spans="1:16" x14ac:dyDescent="0.25">
      <c r="A404" s="3" t="str">
        <f t="shared" si="6"/>
        <v>BREDO41</v>
      </c>
      <c r="B404" s="3" t="s">
        <v>187</v>
      </c>
      <c r="C404" s="3" t="s">
        <v>147</v>
      </c>
      <c r="D404" s="3" t="s">
        <v>103</v>
      </c>
      <c r="E404" s="3" t="s">
        <v>99</v>
      </c>
      <c r="F404" s="3" t="s">
        <v>155</v>
      </c>
      <c r="G404" s="4" t="s">
        <v>130</v>
      </c>
      <c r="H404" s="7">
        <v>4</v>
      </c>
      <c r="I404" s="4" t="s">
        <v>90</v>
      </c>
      <c r="J404" s="4" t="s">
        <v>793</v>
      </c>
      <c r="K404" s="6"/>
      <c r="L404" s="6"/>
      <c r="M404" s="6"/>
      <c r="N404" s="6"/>
      <c r="P404" s="4" t="s">
        <v>793</v>
      </c>
    </row>
    <row r="405" spans="1:16" x14ac:dyDescent="0.25">
      <c r="A405" s="3" t="str">
        <f t="shared" si="6"/>
        <v>CAVER41</v>
      </c>
      <c r="B405" s="3" t="s">
        <v>691</v>
      </c>
      <c r="C405" s="3" t="s">
        <v>147</v>
      </c>
      <c r="D405" s="3" t="s">
        <v>103</v>
      </c>
      <c r="E405" s="3" t="s">
        <v>99</v>
      </c>
      <c r="F405" s="3" t="s">
        <v>155</v>
      </c>
      <c r="G405" s="4" t="s">
        <v>130</v>
      </c>
      <c r="H405" s="7">
        <v>2</v>
      </c>
      <c r="I405" s="4" t="s">
        <v>89</v>
      </c>
      <c r="J405" s="4" t="s">
        <v>793</v>
      </c>
      <c r="K405" s="6"/>
      <c r="L405" s="6"/>
      <c r="M405" s="6"/>
      <c r="N405" s="6"/>
      <c r="P405" s="4" t="s">
        <v>793</v>
      </c>
    </row>
    <row r="406" spans="1:16" x14ac:dyDescent="0.25">
      <c r="A406" s="3" t="str">
        <f t="shared" si="6"/>
        <v>CAINO41</v>
      </c>
      <c r="B406" s="3" t="s">
        <v>196</v>
      </c>
      <c r="C406" s="3" t="s">
        <v>147</v>
      </c>
      <c r="D406" s="3" t="s">
        <v>103</v>
      </c>
      <c r="E406" s="3" t="s">
        <v>99</v>
      </c>
      <c r="F406" s="3" t="s">
        <v>155</v>
      </c>
      <c r="G406" s="4" t="s">
        <v>130</v>
      </c>
      <c r="H406" s="7">
        <v>1</v>
      </c>
      <c r="I406" s="4" t="s">
        <v>90</v>
      </c>
      <c r="J406" s="4" t="s">
        <v>793</v>
      </c>
      <c r="K406" s="6"/>
      <c r="L406" s="6"/>
      <c r="M406" s="6"/>
      <c r="N406" s="6"/>
      <c r="P406" s="4" t="s">
        <v>793</v>
      </c>
    </row>
    <row r="407" spans="1:16" x14ac:dyDescent="0.25">
      <c r="A407" s="3" t="str">
        <f t="shared" si="6"/>
        <v>CABLO41</v>
      </c>
      <c r="B407" s="3" t="s">
        <v>692</v>
      </c>
      <c r="C407" s="3" t="s">
        <v>147</v>
      </c>
      <c r="D407" s="3" t="s">
        <v>103</v>
      </c>
      <c r="E407" s="3" t="s">
        <v>99</v>
      </c>
      <c r="F407" s="3" t="s">
        <v>155</v>
      </c>
      <c r="G407" s="4" t="s">
        <v>130</v>
      </c>
      <c r="H407" s="7">
        <v>2</v>
      </c>
      <c r="I407" s="4" t="s">
        <v>89</v>
      </c>
      <c r="J407" s="4" t="s">
        <v>793</v>
      </c>
      <c r="K407" s="6"/>
      <c r="L407" s="6"/>
      <c r="M407" s="6"/>
      <c r="N407" s="6"/>
      <c r="P407" s="4" t="s">
        <v>793</v>
      </c>
    </row>
    <row r="408" spans="1:16" x14ac:dyDescent="0.25">
      <c r="A408" s="3" t="str">
        <f t="shared" si="6"/>
        <v>ESVEL101</v>
      </c>
      <c r="B408" s="3" t="s">
        <v>239</v>
      </c>
      <c r="C408" s="3" t="s">
        <v>147</v>
      </c>
      <c r="D408" s="3" t="s">
        <v>150</v>
      </c>
      <c r="E408" s="3" t="s">
        <v>99</v>
      </c>
      <c r="F408" s="3" t="s">
        <v>155</v>
      </c>
      <c r="G408" s="4" t="s">
        <v>436</v>
      </c>
      <c r="H408" s="7">
        <v>2</v>
      </c>
      <c r="I408" s="4" t="s">
        <v>89</v>
      </c>
      <c r="J408" s="4" t="s">
        <v>813</v>
      </c>
      <c r="K408" s="6"/>
      <c r="L408" s="6"/>
      <c r="M408" s="6"/>
      <c r="N408" s="6"/>
      <c r="P408" s="4" t="s">
        <v>813</v>
      </c>
    </row>
    <row r="409" spans="1:16" x14ac:dyDescent="0.25">
      <c r="A409" s="3" t="str">
        <f t="shared" si="6"/>
        <v>GURDO112</v>
      </c>
      <c r="B409" s="3" t="s">
        <v>260</v>
      </c>
      <c r="C409" s="3" t="s">
        <v>147</v>
      </c>
      <c r="D409" s="3" t="s">
        <v>105</v>
      </c>
      <c r="E409" s="3" t="s">
        <v>99</v>
      </c>
      <c r="F409" s="3" t="s">
        <v>155</v>
      </c>
      <c r="G409" s="4" t="s">
        <v>451</v>
      </c>
      <c r="H409" s="7">
        <v>3</v>
      </c>
      <c r="I409" s="4" t="s">
        <v>91</v>
      </c>
      <c r="J409" s="4" t="s">
        <v>813</v>
      </c>
      <c r="K409" s="6"/>
      <c r="L409" s="6"/>
      <c r="M409" s="6"/>
      <c r="N409" s="6"/>
      <c r="P409" s="4" t="s">
        <v>813</v>
      </c>
    </row>
    <row r="410" spans="1:16" x14ac:dyDescent="0.25">
      <c r="A410" s="3" t="str">
        <f t="shared" si="6"/>
        <v>IGWIN125</v>
      </c>
      <c r="B410" s="3" t="s">
        <v>295</v>
      </c>
      <c r="C410" s="3" t="s">
        <v>147</v>
      </c>
      <c r="D410" s="3" t="s">
        <v>103</v>
      </c>
      <c r="E410" s="3" t="s">
        <v>99</v>
      </c>
      <c r="F410" s="3" t="s">
        <v>155</v>
      </c>
      <c r="G410" s="4" t="s">
        <v>487</v>
      </c>
      <c r="H410" s="7">
        <v>1</v>
      </c>
      <c r="I410" s="4" t="s">
        <v>89</v>
      </c>
      <c r="J410" s="4" t="s">
        <v>813</v>
      </c>
      <c r="K410" s="6"/>
      <c r="L410" s="6"/>
      <c r="M410" s="6"/>
      <c r="N410" s="6"/>
      <c r="P410" s="4" t="s">
        <v>813</v>
      </c>
    </row>
    <row r="411" spans="1:16" x14ac:dyDescent="0.25">
      <c r="A411" s="3" t="str">
        <f t="shared" si="6"/>
        <v>IGLER125</v>
      </c>
      <c r="B411" s="3" t="s">
        <v>724</v>
      </c>
      <c r="C411" s="3" t="s">
        <v>147</v>
      </c>
      <c r="D411" s="3" t="s">
        <v>103</v>
      </c>
      <c r="E411" s="3" t="s">
        <v>99</v>
      </c>
      <c r="F411" s="3" t="s">
        <v>155</v>
      </c>
      <c r="G411" s="4" t="s">
        <v>487</v>
      </c>
      <c r="H411" s="7">
        <v>1</v>
      </c>
      <c r="I411" s="4" t="s">
        <v>89</v>
      </c>
      <c r="J411" s="4" t="s">
        <v>793</v>
      </c>
      <c r="K411" s="6"/>
      <c r="L411" s="6"/>
      <c r="M411" s="6"/>
      <c r="N411" s="6"/>
      <c r="P411" s="4" t="s">
        <v>793</v>
      </c>
    </row>
    <row r="412" spans="1:16" x14ac:dyDescent="0.25">
      <c r="A412" s="3" t="str">
        <f t="shared" si="6"/>
        <v>LIIRO17</v>
      </c>
      <c r="B412" s="3" t="s">
        <v>314</v>
      </c>
      <c r="C412" s="3" t="s">
        <v>147</v>
      </c>
      <c r="D412" s="3" t="s">
        <v>103</v>
      </c>
      <c r="E412" s="3" t="s">
        <v>99</v>
      </c>
      <c r="F412" s="3" t="s">
        <v>155</v>
      </c>
      <c r="G412" s="4" t="s">
        <v>503</v>
      </c>
      <c r="H412" s="7">
        <v>1</v>
      </c>
      <c r="I412" s="4" t="s">
        <v>89</v>
      </c>
      <c r="J412" s="4" t="s">
        <v>793</v>
      </c>
      <c r="K412" s="6"/>
      <c r="L412" s="6"/>
      <c r="M412" s="6"/>
      <c r="N412" s="6"/>
      <c r="P412" s="4" t="s">
        <v>793</v>
      </c>
    </row>
    <row r="413" spans="1:16" x14ac:dyDescent="0.25">
      <c r="A413" s="3" t="str">
        <f t="shared" si="6"/>
        <v>LOTIN47</v>
      </c>
      <c r="B413" s="3" t="s">
        <v>735</v>
      </c>
      <c r="C413" s="3" t="s">
        <v>147</v>
      </c>
      <c r="D413" s="3" t="s">
        <v>103</v>
      </c>
      <c r="E413" s="3" t="s">
        <v>99</v>
      </c>
      <c r="F413" s="3" t="s">
        <v>155</v>
      </c>
      <c r="G413" s="4" t="s">
        <v>507</v>
      </c>
      <c r="H413" s="7">
        <v>1</v>
      </c>
      <c r="I413" s="4" t="s">
        <v>89</v>
      </c>
      <c r="J413" s="4" t="s">
        <v>793</v>
      </c>
      <c r="K413" s="6"/>
      <c r="L413" s="6"/>
      <c r="M413" s="6"/>
      <c r="N413" s="6"/>
      <c r="P413" s="4" t="s">
        <v>793</v>
      </c>
    </row>
    <row r="414" spans="1:16" x14ac:dyDescent="0.25">
      <c r="A414" s="3" t="str">
        <f t="shared" si="6"/>
        <v>MASAR47</v>
      </c>
      <c r="B414" s="3" t="s">
        <v>737</v>
      </c>
      <c r="C414" s="3" t="s">
        <v>147</v>
      </c>
      <c r="D414" s="3" t="s">
        <v>103</v>
      </c>
      <c r="E414" s="3" t="s">
        <v>99</v>
      </c>
      <c r="F414" s="3" t="s">
        <v>155</v>
      </c>
      <c r="G414" s="4" t="s">
        <v>507</v>
      </c>
      <c r="H414" s="7">
        <v>6</v>
      </c>
      <c r="I414" s="4" t="s">
        <v>90</v>
      </c>
      <c r="J414" s="4" t="s">
        <v>793</v>
      </c>
      <c r="K414" s="6"/>
      <c r="L414" s="6"/>
      <c r="M414" s="6"/>
      <c r="N414" s="6"/>
      <c r="P414" s="4" t="s">
        <v>793</v>
      </c>
    </row>
    <row r="415" spans="1:16" x14ac:dyDescent="0.25">
      <c r="A415" s="3" t="str">
        <f t="shared" si="6"/>
        <v>MAAVO47</v>
      </c>
      <c r="B415" s="3" t="s">
        <v>323</v>
      </c>
      <c r="C415" s="3" t="s">
        <v>147</v>
      </c>
      <c r="D415" s="3" t="s">
        <v>103</v>
      </c>
      <c r="E415" s="3" t="s">
        <v>99</v>
      </c>
      <c r="F415" s="3" t="s">
        <v>155</v>
      </c>
      <c r="G415" s="4" t="s">
        <v>507</v>
      </c>
      <c r="H415" s="7">
        <v>2</v>
      </c>
      <c r="I415" s="4" t="s">
        <v>89</v>
      </c>
      <c r="J415" s="4" t="s">
        <v>793</v>
      </c>
      <c r="K415" s="6"/>
      <c r="L415" s="6"/>
      <c r="M415" s="6"/>
      <c r="N415" s="6"/>
      <c r="P415" s="4" t="s">
        <v>793</v>
      </c>
    </row>
    <row r="416" spans="1:16" x14ac:dyDescent="0.25">
      <c r="A416" s="3" t="str">
        <f t="shared" si="6"/>
        <v>MERIO38</v>
      </c>
      <c r="B416" s="3" t="s">
        <v>742</v>
      </c>
      <c r="C416" s="3" t="s">
        <v>147</v>
      </c>
      <c r="D416" s="3" t="s">
        <v>103</v>
      </c>
      <c r="E416" s="3" t="s">
        <v>99</v>
      </c>
      <c r="F416" s="3" t="s">
        <v>155</v>
      </c>
      <c r="G416" s="4" t="s">
        <v>520</v>
      </c>
      <c r="H416" s="7">
        <v>2</v>
      </c>
      <c r="I416" s="4" t="s">
        <v>91</v>
      </c>
      <c r="J416" s="4" t="s">
        <v>793</v>
      </c>
      <c r="K416" s="6"/>
      <c r="L416" s="6"/>
      <c r="M416" s="6"/>
      <c r="N416" s="6"/>
      <c r="P416" s="4" t="s">
        <v>793</v>
      </c>
    </row>
    <row r="417" spans="1:16" x14ac:dyDescent="0.25">
      <c r="A417" s="3" t="str">
        <f t="shared" si="6"/>
        <v>ORWIN110</v>
      </c>
      <c r="B417" s="3" t="s">
        <v>752</v>
      </c>
      <c r="C417" s="3" t="s">
        <v>147</v>
      </c>
      <c r="D417" s="3" t="s">
        <v>103</v>
      </c>
      <c r="E417" s="3" t="s">
        <v>99</v>
      </c>
      <c r="F417" s="3" t="s">
        <v>155</v>
      </c>
      <c r="G417" s="4" t="s">
        <v>539</v>
      </c>
      <c r="H417" s="7">
        <v>2</v>
      </c>
      <c r="I417" s="4" t="s">
        <v>89</v>
      </c>
      <c r="J417" s="4" t="s">
        <v>813</v>
      </c>
      <c r="K417" s="6"/>
      <c r="L417" s="6"/>
      <c r="M417" s="6"/>
      <c r="N417" s="6"/>
      <c r="P417" s="4" t="s">
        <v>813</v>
      </c>
    </row>
    <row r="418" spans="1:16" x14ac:dyDescent="0.25">
      <c r="A418" s="3" t="str">
        <f t="shared" si="6"/>
        <v>PASES1110</v>
      </c>
      <c r="B418" s="3" t="s">
        <v>356</v>
      </c>
      <c r="C418" s="3" t="s">
        <v>147</v>
      </c>
      <c r="D418" s="3" t="s">
        <v>103</v>
      </c>
      <c r="E418" s="3" t="s">
        <v>99</v>
      </c>
      <c r="F418" s="3" t="s">
        <v>155</v>
      </c>
      <c r="G418" s="4" t="s">
        <v>553</v>
      </c>
      <c r="H418" s="7">
        <v>2</v>
      </c>
      <c r="I418" s="4" t="s">
        <v>89</v>
      </c>
      <c r="J418" s="4" t="s">
        <v>813</v>
      </c>
      <c r="K418" s="6"/>
      <c r="L418" s="6"/>
      <c r="M418" s="6"/>
      <c r="N418" s="6"/>
      <c r="P418" s="4" t="s">
        <v>813</v>
      </c>
    </row>
    <row r="419" spans="1:16" x14ac:dyDescent="0.25">
      <c r="A419" s="3" t="str">
        <f t="shared" si="6"/>
        <v>PACOB711</v>
      </c>
      <c r="B419" s="3" t="s">
        <v>762</v>
      </c>
      <c r="C419" s="3" t="s">
        <v>147</v>
      </c>
      <c r="D419" s="3" t="s">
        <v>105</v>
      </c>
      <c r="E419" s="3" t="s">
        <v>99</v>
      </c>
      <c r="F419" s="3" t="s">
        <v>155</v>
      </c>
      <c r="G419" s="4" t="s">
        <v>562</v>
      </c>
      <c r="H419" s="7">
        <v>4</v>
      </c>
      <c r="I419" s="4" t="s">
        <v>90</v>
      </c>
      <c r="J419" s="4" t="s">
        <v>813</v>
      </c>
      <c r="K419" s="6"/>
      <c r="L419" s="6"/>
      <c r="M419" s="6"/>
      <c r="N419" s="6"/>
      <c r="P419" s="4" t="s">
        <v>813</v>
      </c>
    </row>
    <row r="420" spans="1:16" x14ac:dyDescent="0.25">
      <c r="A420" s="3" t="str">
        <f t="shared" si="6"/>
        <v>PIRIN1111</v>
      </c>
      <c r="B420" s="3" t="s">
        <v>363</v>
      </c>
      <c r="C420" s="3" t="s">
        <v>147</v>
      </c>
      <c r="D420" s="3" t="s">
        <v>103</v>
      </c>
      <c r="E420" s="3" t="s">
        <v>99</v>
      </c>
      <c r="F420" s="3" t="s">
        <v>155</v>
      </c>
      <c r="G420" s="4" t="s">
        <v>566</v>
      </c>
      <c r="H420" s="7"/>
      <c r="I420" s="4" t="s">
        <v>89</v>
      </c>
      <c r="J420" s="4" t="s">
        <v>793</v>
      </c>
      <c r="K420" s="6"/>
      <c r="L420" s="6"/>
      <c r="M420" s="6"/>
      <c r="N420" s="6"/>
      <c r="P420" s="4" t="s">
        <v>793</v>
      </c>
    </row>
    <row r="421" spans="1:16" x14ac:dyDescent="0.25">
      <c r="A421" s="3" t="str">
        <f t="shared" si="6"/>
        <v>QUTAN313</v>
      </c>
      <c r="B421" s="3" t="s">
        <v>374</v>
      </c>
      <c r="C421" s="3" t="s">
        <v>147</v>
      </c>
      <c r="D421" s="3" t="s">
        <v>105</v>
      </c>
      <c r="E421" s="3" t="s">
        <v>99</v>
      </c>
      <c r="F421" s="3" t="s">
        <v>155</v>
      </c>
      <c r="G421" s="4" t="s">
        <v>582</v>
      </c>
      <c r="H421" s="7">
        <v>2</v>
      </c>
      <c r="I421" s="4" t="s">
        <v>91</v>
      </c>
      <c r="J421" s="4" t="s">
        <v>813</v>
      </c>
      <c r="K421" s="6"/>
      <c r="L421" s="6"/>
      <c r="M421" s="6"/>
      <c r="N421" s="6"/>
      <c r="P421" s="4" t="s">
        <v>813</v>
      </c>
    </row>
    <row r="422" spans="1:16" x14ac:dyDescent="0.25">
      <c r="A422" s="3" t="str">
        <f t="shared" si="6"/>
        <v>RAGEL214</v>
      </c>
      <c r="B422" s="3" t="s">
        <v>381</v>
      </c>
      <c r="C422" s="3" t="s">
        <v>147</v>
      </c>
      <c r="D422" s="3" t="s">
        <v>105</v>
      </c>
      <c r="E422" s="3" t="s">
        <v>99</v>
      </c>
      <c r="F422" s="3" t="s">
        <v>155</v>
      </c>
      <c r="G422" s="4" t="s">
        <v>591</v>
      </c>
      <c r="H422" s="7">
        <v>2</v>
      </c>
      <c r="I422" s="4" t="s">
        <v>89</v>
      </c>
      <c r="J422" s="4" t="s">
        <v>813</v>
      </c>
      <c r="K422" s="6"/>
      <c r="L422" s="6"/>
      <c r="M422" s="6"/>
      <c r="N422" s="6"/>
      <c r="P422" s="4" t="s">
        <v>813</v>
      </c>
    </row>
    <row r="423" spans="1:16" x14ac:dyDescent="0.25">
      <c r="A423" s="3" t="str">
        <f t="shared" si="6"/>
        <v>ROLDO715</v>
      </c>
      <c r="B423" s="3" t="s">
        <v>397</v>
      </c>
      <c r="C423" s="3" t="s">
        <v>147</v>
      </c>
      <c r="D423" s="3" t="s">
        <v>150</v>
      </c>
      <c r="E423" s="3" t="s">
        <v>99</v>
      </c>
      <c r="F423" s="3" t="s">
        <v>155</v>
      </c>
      <c r="G423" s="4" t="s">
        <v>618</v>
      </c>
      <c r="H423" s="7">
        <v>4</v>
      </c>
      <c r="I423" s="4" t="s">
        <v>89</v>
      </c>
      <c r="J423" s="4" t="s">
        <v>813</v>
      </c>
      <c r="K423" s="6"/>
      <c r="L423" s="6"/>
      <c r="M423" s="6"/>
      <c r="N423" s="6"/>
      <c r="P423" s="4" t="s">
        <v>813</v>
      </c>
    </row>
    <row r="424" spans="1:16" x14ac:dyDescent="0.25">
      <c r="A424" s="3" t="str">
        <f t="shared" si="6"/>
        <v>RUANS317</v>
      </c>
      <c r="B424" s="3" t="s">
        <v>414</v>
      </c>
      <c r="C424" s="3" t="s">
        <v>147</v>
      </c>
      <c r="D424" s="3" t="s">
        <v>105</v>
      </c>
      <c r="E424" s="3" t="s">
        <v>99</v>
      </c>
      <c r="F424" s="3" t="s">
        <v>155</v>
      </c>
      <c r="G424" s="4" t="s">
        <v>634</v>
      </c>
      <c r="H424" s="7">
        <v>4</v>
      </c>
      <c r="I424" s="4" t="s">
        <v>89</v>
      </c>
      <c r="J424" s="4" t="s">
        <v>813</v>
      </c>
      <c r="K424" s="6"/>
      <c r="L424" s="6"/>
      <c r="M424" s="6"/>
      <c r="N424" s="6"/>
      <c r="P424" s="4" t="s">
        <v>813</v>
      </c>
    </row>
    <row r="425" spans="1:16" x14ac:dyDescent="0.25">
      <c r="A425" s="3" t="str">
        <f t="shared" si="6"/>
        <v>COGEL61</v>
      </c>
      <c r="B425" s="3" t="s">
        <v>659</v>
      </c>
      <c r="C425" s="3" t="s">
        <v>147</v>
      </c>
      <c r="D425" s="3" t="s">
        <v>103</v>
      </c>
      <c r="E425" s="3" t="s">
        <v>102</v>
      </c>
      <c r="F425" s="3" t="s">
        <v>210</v>
      </c>
      <c r="G425" s="4" t="s">
        <v>136</v>
      </c>
      <c r="H425" s="7">
        <v>1</v>
      </c>
      <c r="I425" s="4" t="s">
        <v>91</v>
      </c>
      <c r="J425" s="4" t="s">
        <v>787</v>
      </c>
      <c r="K425" s="6"/>
      <c r="L425" s="6"/>
      <c r="M425" s="6"/>
      <c r="N425" s="6"/>
      <c r="P425" s="4" t="s">
        <v>787</v>
      </c>
    </row>
    <row r="426" spans="1:16" x14ac:dyDescent="0.25">
      <c r="A426" s="3" t="str">
        <f t="shared" si="6"/>
        <v>FLOEL111</v>
      </c>
      <c r="B426" s="3" t="s">
        <v>664</v>
      </c>
      <c r="C426" s="3" t="s">
        <v>147</v>
      </c>
      <c r="D426" s="3" t="s">
        <v>150</v>
      </c>
      <c r="E426" s="3" t="s">
        <v>102</v>
      </c>
      <c r="F426" s="3" t="s">
        <v>210</v>
      </c>
      <c r="G426" s="4" t="s">
        <v>439</v>
      </c>
      <c r="H426" s="7">
        <v>2</v>
      </c>
      <c r="I426" s="4" t="s">
        <v>89</v>
      </c>
      <c r="J426" s="4" t="s">
        <v>806</v>
      </c>
      <c r="K426" s="6"/>
      <c r="L426" s="6"/>
      <c r="M426" s="6"/>
      <c r="N426" s="6"/>
      <c r="P426" s="4" t="s">
        <v>806</v>
      </c>
    </row>
    <row r="427" spans="1:16" x14ac:dyDescent="0.25">
      <c r="A427" s="3" t="str">
        <f t="shared" si="6"/>
        <v>GOGIO72</v>
      </c>
      <c r="B427" s="3" t="s">
        <v>48</v>
      </c>
      <c r="C427" s="3" t="s">
        <v>147</v>
      </c>
      <c r="D427" s="3" t="s">
        <v>104</v>
      </c>
      <c r="E427" s="3" t="s">
        <v>102</v>
      </c>
      <c r="F427" s="3" t="s">
        <v>210</v>
      </c>
      <c r="G427" s="4" t="s">
        <v>449</v>
      </c>
      <c r="H427" s="7">
        <v>4</v>
      </c>
      <c r="I427" s="4" t="s">
        <v>89</v>
      </c>
      <c r="J427" s="4" t="s">
        <v>806</v>
      </c>
      <c r="K427" s="6"/>
      <c r="L427" s="6"/>
      <c r="M427" s="6"/>
      <c r="N427" s="6"/>
      <c r="P427" s="4" t="s">
        <v>806</v>
      </c>
    </row>
    <row r="428" spans="1:16" x14ac:dyDescent="0.25">
      <c r="A428" s="3" t="str">
        <f t="shared" si="6"/>
        <v>HUUEL94</v>
      </c>
      <c r="B428" s="3" t="s">
        <v>51</v>
      </c>
      <c r="C428" s="3" t="s">
        <v>147</v>
      </c>
      <c r="D428" s="3" t="s">
        <v>105</v>
      </c>
      <c r="E428" s="3" t="s">
        <v>102</v>
      </c>
      <c r="F428" s="3" t="s">
        <v>210</v>
      </c>
      <c r="G428" s="4" t="s">
        <v>469</v>
      </c>
      <c r="H428" s="7">
        <v>1</v>
      </c>
      <c r="I428" s="4" t="s">
        <v>91</v>
      </c>
      <c r="J428" s="4" t="s">
        <v>787</v>
      </c>
      <c r="K428" s="6"/>
      <c r="L428" s="6"/>
      <c r="M428" s="6"/>
      <c r="N428" s="6"/>
      <c r="P428" s="4" t="s">
        <v>787</v>
      </c>
    </row>
    <row r="429" spans="1:16" x14ac:dyDescent="0.25">
      <c r="A429" s="3" t="str">
        <f t="shared" si="6"/>
        <v>HUNIS95</v>
      </c>
      <c r="B429" s="3" t="s">
        <v>53</v>
      </c>
      <c r="C429" s="3" t="s">
        <v>147</v>
      </c>
      <c r="D429" s="3" t="s">
        <v>103</v>
      </c>
      <c r="E429" s="3" t="s">
        <v>102</v>
      </c>
      <c r="F429" s="3" t="s">
        <v>210</v>
      </c>
      <c r="G429" s="4" t="s">
        <v>484</v>
      </c>
      <c r="H429" s="7">
        <v>3</v>
      </c>
      <c r="I429" s="4" t="s">
        <v>92</v>
      </c>
      <c r="J429" s="4" t="s">
        <v>814</v>
      </c>
      <c r="K429" s="6"/>
      <c r="L429" s="6"/>
      <c r="M429" s="6"/>
      <c r="N429" s="6"/>
      <c r="P429" s="4" t="s">
        <v>814</v>
      </c>
    </row>
    <row r="430" spans="1:16" x14ac:dyDescent="0.25">
      <c r="A430" s="3" t="str">
        <f t="shared" si="6"/>
        <v>MARMO67</v>
      </c>
      <c r="B430" s="3" t="s">
        <v>56</v>
      </c>
      <c r="C430" s="3" t="s">
        <v>147</v>
      </c>
      <c r="D430" s="3" t="s">
        <v>103</v>
      </c>
      <c r="E430" s="3" t="s">
        <v>102</v>
      </c>
      <c r="F430" s="3" t="s">
        <v>210</v>
      </c>
      <c r="G430" s="4" t="s">
        <v>509</v>
      </c>
      <c r="H430" s="7"/>
      <c r="I430" s="4" t="s">
        <v>89</v>
      </c>
      <c r="J430" s="4" t="s">
        <v>814</v>
      </c>
      <c r="K430" s="6"/>
      <c r="L430" s="6"/>
      <c r="M430" s="6"/>
      <c r="N430" s="6"/>
      <c r="P430" s="4" t="s">
        <v>814</v>
      </c>
    </row>
    <row r="431" spans="1:16" x14ac:dyDescent="0.25">
      <c r="A431" s="3" t="str">
        <f t="shared" si="6"/>
        <v>CIRIO51</v>
      </c>
      <c r="B431" s="3" t="s">
        <v>42</v>
      </c>
      <c r="C431" s="3" t="s">
        <v>147</v>
      </c>
      <c r="D431" s="3" t="s">
        <v>104</v>
      </c>
      <c r="E431" s="3" t="s">
        <v>102</v>
      </c>
      <c r="F431" s="3" t="s">
        <v>206</v>
      </c>
      <c r="G431" s="4" t="s">
        <v>135</v>
      </c>
      <c r="H431" s="7">
        <v>1</v>
      </c>
      <c r="I431" s="4" t="s">
        <v>89</v>
      </c>
      <c r="J431" s="4" t="s">
        <v>809</v>
      </c>
      <c r="K431" s="6"/>
      <c r="L431" s="6"/>
      <c r="M431" s="6"/>
      <c r="N431" s="6"/>
      <c r="P431" s="4" t="s">
        <v>809</v>
      </c>
    </row>
    <row r="432" spans="1:16" x14ac:dyDescent="0.25">
      <c r="A432" s="3" t="str">
        <f t="shared" si="6"/>
        <v>PADRO111</v>
      </c>
      <c r="B432" s="3" t="s">
        <v>60</v>
      </c>
      <c r="C432" s="3" t="s">
        <v>147</v>
      </c>
      <c r="D432" s="3" t="s">
        <v>150</v>
      </c>
      <c r="E432" s="3" t="s">
        <v>102</v>
      </c>
      <c r="F432" s="3" t="s">
        <v>206</v>
      </c>
      <c r="G432" s="4" t="s">
        <v>554</v>
      </c>
      <c r="H432" s="7">
        <v>2</v>
      </c>
      <c r="I432" s="4" t="s">
        <v>92</v>
      </c>
      <c r="J432" s="4" t="s">
        <v>828</v>
      </c>
      <c r="K432" s="6"/>
      <c r="L432" s="6"/>
      <c r="M432" s="6"/>
      <c r="N432" s="6"/>
      <c r="P432" s="4" t="s">
        <v>828</v>
      </c>
    </row>
    <row r="433" spans="1:16" x14ac:dyDescent="0.25">
      <c r="A433" s="3" t="str">
        <f t="shared" si="6"/>
        <v>QUAUL213</v>
      </c>
      <c r="B433" s="3" t="s">
        <v>64</v>
      </c>
      <c r="C433" s="3" t="s">
        <v>147</v>
      </c>
      <c r="D433" s="3" t="s">
        <v>105</v>
      </c>
      <c r="E433" s="3" t="s">
        <v>102</v>
      </c>
      <c r="F433" s="3" t="s">
        <v>206</v>
      </c>
      <c r="G433" s="4" t="s">
        <v>580</v>
      </c>
      <c r="H433" s="7"/>
      <c r="I433" s="4" t="s">
        <v>92</v>
      </c>
      <c r="J433" s="4" t="s">
        <v>784</v>
      </c>
      <c r="K433" s="6"/>
      <c r="L433" s="6"/>
      <c r="M433" s="6"/>
      <c r="N433" s="6"/>
      <c r="P433" s="4" t="s">
        <v>784</v>
      </c>
    </row>
    <row r="434" spans="1:16" x14ac:dyDescent="0.25">
      <c r="A434" s="3" t="str">
        <f t="shared" si="6"/>
        <v>RARTO314</v>
      </c>
      <c r="B434" s="3" t="s">
        <v>676</v>
      </c>
      <c r="C434" s="3" t="s">
        <v>147</v>
      </c>
      <c r="D434" s="3" t="s">
        <v>103</v>
      </c>
      <c r="E434" s="3" t="s">
        <v>102</v>
      </c>
      <c r="F434" s="3" t="s">
        <v>206</v>
      </c>
      <c r="G434" s="4" t="s">
        <v>593</v>
      </c>
      <c r="H434" s="7"/>
      <c r="I434" s="4" t="s">
        <v>90</v>
      </c>
      <c r="J434" s="4" t="s">
        <v>786</v>
      </c>
      <c r="K434" s="6"/>
      <c r="L434" s="6"/>
      <c r="M434" s="6"/>
      <c r="N434" s="6"/>
      <c r="P434" s="4" t="s">
        <v>786</v>
      </c>
    </row>
    <row r="435" spans="1:16" x14ac:dyDescent="0.25">
      <c r="A435" s="3" t="str">
        <f t="shared" si="6"/>
        <v>ABEDO11</v>
      </c>
      <c r="B435" s="3" t="s">
        <v>68</v>
      </c>
      <c r="C435" s="3" t="s">
        <v>147</v>
      </c>
      <c r="D435" s="3" t="s">
        <v>103</v>
      </c>
      <c r="E435" s="3" t="s">
        <v>99</v>
      </c>
      <c r="F435" s="3" t="s">
        <v>148</v>
      </c>
      <c r="G435" s="4" t="s">
        <v>110</v>
      </c>
      <c r="H435" s="7">
        <v>5</v>
      </c>
      <c r="I435" s="4" t="s">
        <v>89</v>
      </c>
      <c r="J435" s="4" t="s">
        <v>828</v>
      </c>
      <c r="K435" s="6"/>
      <c r="L435" s="6"/>
      <c r="M435" s="6"/>
      <c r="N435" s="6"/>
      <c r="P435" s="4" t="s">
        <v>828</v>
      </c>
    </row>
    <row r="436" spans="1:16" x14ac:dyDescent="0.25">
      <c r="A436" s="3" t="str">
        <f t="shared" si="6"/>
        <v>ARNIO31</v>
      </c>
      <c r="B436" s="3" t="s">
        <v>83</v>
      </c>
      <c r="C436" s="3" t="s">
        <v>147</v>
      </c>
      <c r="D436" s="3" t="s">
        <v>103</v>
      </c>
      <c r="E436" s="3" t="s">
        <v>99</v>
      </c>
      <c r="F436" s="3" t="s">
        <v>148</v>
      </c>
      <c r="G436" s="4" t="s">
        <v>123</v>
      </c>
      <c r="H436" s="7">
        <v>1</v>
      </c>
      <c r="I436" s="4" t="s">
        <v>89</v>
      </c>
      <c r="J436" s="4" t="s">
        <v>786</v>
      </c>
      <c r="K436" s="6"/>
      <c r="L436" s="6"/>
      <c r="M436" s="6"/>
      <c r="N436" s="6"/>
      <c r="P436" s="4" t="s">
        <v>786</v>
      </c>
    </row>
    <row r="437" spans="1:16" x14ac:dyDescent="0.25">
      <c r="A437" s="3" t="str">
        <f t="shared" si="6"/>
        <v>CCURO51</v>
      </c>
      <c r="B437" s="3" t="s">
        <v>694</v>
      </c>
      <c r="C437" s="3" t="s">
        <v>147</v>
      </c>
      <c r="D437" s="3" t="s">
        <v>150</v>
      </c>
      <c r="E437" s="3" t="s">
        <v>99</v>
      </c>
      <c r="F437" s="3" t="s">
        <v>148</v>
      </c>
      <c r="G437" s="4" t="s">
        <v>131</v>
      </c>
      <c r="H437" s="7"/>
      <c r="I437" s="4" t="s">
        <v>89</v>
      </c>
      <c r="J437" s="4" t="s">
        <v>786</v>
      </c>
      <c r="K437" s="6"/>
      <c r="L437" s="6"/>
      <c r="M437" s="6"/>
      <c r="N437" s="6"/>
      <c r="P437" s="4" t="s">
        <v>786</v>
      </c>
    </row>
    <row r="438" spans="1:16" x14ac:dyDescent="0.25">
      <c r="A438" s="3" t="str">
        <f t="shared" si="6"/>
        <v>DALIO81</v>
      </c>
      <c r="B438" s="3" t="s">
        <v>706</v>
      </c>
      <c r="C438" s="3" t="s">
        <v>147</v>
      </c>
      <c r="D438" s="3" t="s">
        <v>105</v>
      </c>
      <c r="E438" s="3" t="s">
        <v>99</v>
      </c>
      <c r="F438" s="3" t="s">
        <v>148</v>
      </c>
      <c r="G438" s="4" t="s">
        <v>424</v>
      </c>
      <c r="H438" s="7">
        <v>2</v>
      </c>
      <c r="I438" s="4" t="s">
        <v>89</v>
      </c>
      <c r="J438" s="4" t="s">
        <v>827</v>
      </c>
      <c r="K438" s="6"/>
      <c r="L438" s="6"/>
      <c r="M438" s="6"/>
      <c r="N438" s="6"/>
      <c r="P438" s="4" t="s">
        <v>827</v>
      </c>
    </row>
    <row r="439" spans="1:16" x14ac:dyDescent="0.25">
      <c r="A439" s="3" t="str">
        <f t="shared" si="6"/>
        <v>ESERO91</v>
      </c>
      <c r="B439" s="3" t="s">
        <v>235</v>
      </c>
      <c r="C439" s="3" t="s">
        <v>147</v>
      </c>
      <c r="D439" s="3" t="s">
        <v>150</v>
      </c>
      <c r="E439" s="3" t="s">
        <v>99</v>
      </c>
      <c r="F439" s="3" t="s">
        <v>148</v>
      </c>
      <c r="G439" s="4" t="s">
        <v>434</v>
      </c>
      <c r="H439" s="7"/>
      <c r="I439" s="4" t="s">
        <v>89</v>
      </c>
      <c r="J439" s="4" t="s">
        <v>822</v>
      </c>
      <c r="K439" s="6"/>
      <c r="L439" s="6"/>
      <c r="M439" s="6"/>
      <c r="N439" s="6"/>
      <c r="P439" s="4" t="s">
        <v>822</v>
      </c>
    </row>
    <row r="440" spans="1:16" x14ac:dyDescent="0.25">
      <c r="A440" s="3" t="str">
        <f t="shared" si="6"/>
        <v>HUSES55</v>
      </c>
      <c r="B440" s="3" t="s">
        <v>288</v>
      </c>
      <c r="C440" s="3" t="s">
        <v>147</v>
      </c>
      <c r="D440" s="3" t="s">
        <v>105</v>
      </c>
      <c r="E440" s="3" t="s">
        <v>99</v>
      </c>
      <c r="F440" s="3" t="s">
        <v>148</v>
      </c>
      <c r="G440" s="4" t="s">
        <v>478</v>
      </c>
      <c r="H440" s="7"/>
      <c r="I440" s="4" t="s">
        <v>90</v>
      </c>
      <c r="J440" s="4" t="s">
        <v>827</v>
      </c>
      <c r="K440" s="6"/>
      <c r="L440" s="6"/>
      <c r="M440" s="6"/>
      <c r="N440" s="6"/>
      <c r="P440" s="4" t="s">
        <v>827</v>
      </c>
    </row>
    <row r="441" spans="1:16" x14ac:dyDescent="0.25">
      <c r="A441" s="3" t="str">
        <f t="shared" si="6"/>
        <v>HUITH85</v>
      </c>
      <c r="B441" s="3" t="s">
        <v>290</v>
      </c>
      <c r="C441" s="3" t="s">
        <v>147</v>
      </c>
      <c r="D441" s="3" t="s">
        <v>150</v>
      </c>
      <c r="E441" s="3" t="s">
        <v>99</v>
      </c>
      <c r="F441" s="3" t="s">
        <v>148</v>
      </c>
      <c r="G441" s="4" t="s">
        <v>481</v>
      </c>
      <c r="H441" s="7"/>
      <c r="I441" s="4" t="s">
        <v>89</v>
      </c>
      <c r="J441" s="4" t="s">
        <v>820</v>
      </c>
      <c r="K441" s="6"/>
      <c r="L441" s="6"/>
      <c r="M441" s="6"/>
      <c r="N441" s="6"/>
      <c r="P441" s="4" t="s">
        <v>820</v>
      </c>
    </row>
    <row r="442" spans="1:16" x14ac:dyDescent="0.25">
      <c r="A442" s="3" t="str">
        <f t="shared" si="6"/>
        <v>ODLIO99</v>
      </c>
      <c r="B442" s="3" t="s">
        <v>750</v>
      </c>
      <c r="C442" s="3" t="s">
        <v>147</v>
      </c>
      <c r="D442" s="3" t="s">
        <v>103</v>
      </c>
      <c r="E442" s="3" t="s">
        <v>99</v>
      </c>
      <c r="F442" s="3" t="s">
        <v>148</v>
      </c>
      <c r="G442" s="4" t="s">
        <v>535</v>
      </c>
      <c r="H442" s="7">
        <v>2</v>
      </c>
      <c r="I442" s="4" t="s">
        <v>89</v>
      </c>
      <c r="J442" s="4" t="s">
        <v>786</v>
      </c>
      <c r="K442" s="6"/>
      <c r="L442" s="6"/>
      <c r="M442" s="6"/>
      <c r="N442" s="6"/>
      <c r="P442" s="4" t="s">
        <v>786</v>
      </c>
    </row>
    <row r="443" spans="1:16" x14ac:dyDescent="0.25">
      <c r="A443" s="3" t="str">
        <f t="shared" si="6"/>
        <v>PEUAN811</v>
      </c>
      <c r="B443" s="3" t="s">
        <v>362</v>
      </c>
      <c r="C443" s="3" t="s">
        <v>147</v>
      </c>
      <c r="D443" s="3" t="s">
        <v>103</v>
      </c>
      <c r="E443" s="3" t="s">
        <v>99</v>
      </c>
      <c r="F443" s="3" t="s">
        <v>148</v>
      </c>
      <c r="G443" s="4" t="s">
        <v>564</v>
      </c>
      <c r="H443" s="7"/>
      <c r="I443" s="4" t="s">
        <v>89</v>
      </c>
      <c r="J443" s="4" t="s">
        <v>829</v>
      </c>
      <c r="K443" s="6"/>
      <c r="L443" s="6"/>
      <c r="M443" s="6"/>
      <c r="N443" s="6"/>
      <c r="P443" s="4" t="s">
        <v>829</v>
      </c>
    </row>
    <row r="444" spans="1:16" x14ac:dyDescent="0.25">
      <c r="A444" s="3" t="str">
        <f t="shared" si="6"/>
        <v>QULEX113</v>
      </c>
      <c r="B444" s="3" t="s">
        <v>373</v>
      </c>
      <c r="C444" s="3" t="s">
        <v>147</v>
      </c>
      <c r="D444" s="3" t="s">
        <v>105</v>
      </c>
      <c r="E444" s="3" t="s">
        <v>99</v>
      </c>
      <c r="F444" s="3" t="s">
        <v>148</v>
      </c>
      <c r="G444" s="4" t="s">
        <v>578</v>
      </c>
      <c r="H444" s="7">
        <v>2</v>
      </c>
      <c r="I444" s="4" t="s">
        <v>89</v>
      </c>
      <c r="J444" s="4" t="s">
        <v>793</v>
      </c>
      <c r="K444" s="6"/>
      <c r="L444" s="6"/>
      <c r="M444" s="6"/>
      <c r="N444" s="6"/>
      <c r="P444" s="4" t="s">
        <v>793</v>
      </c>
    </row>
    <row r="445" spans="1:16" x14ac:dyDescent="0.25">
      <c r="A445" s="3" t="str">
        <f t="shared" si="6"/>
        <v>HUSON55</v>
      </c>
      <c r="B445" s="3" t="s">
        <v>285</v>
      </c>
      <c r="C445" s="3" t="s">
        <v>147</v>
      </c>
      <c r="D445" s="3" t="s">
        <v>150</v>
      </c>
      <c r="E445" s="3" t="s">
        <v>99</v>
      </c>
      <c r="F445" s="3" t="s">
        <v>286</v>
      </c>
      <c r="G445" s="4" t="s">
        <v>477</v>
      </c>
      <c r="H445" s="7">
        <v>1</v>
      </c>
      <c r="I445" s="4" t="s">
        <v>89</v>
      </c>
      <c r="J445" s="4" t="s">
        <v>809</v>
      </c>
      <c r="K445" s="6"/>
      <c r="L445" s="6"/>
      <c r="M445" s="6"/>
      <c r="N445" s="6"/>
      <c r="P445" s="4" t="s">
        <v>809</v>
      </c>
    </row>
    <row r="446" spans="1:16" x14ac:dyDescent="0.25">
      <c r="A446" s="3" t="str">
        <f t="shared" si="6"/>
        <v>PALIO610</v>
      </c>
      <c r="B446" s="3" t="s">
        <v>760</v>
      </c>
      <c r="C446" s="3" t="s">
        <v>147</v>
      </c>
      <c r="D446" s="3" t="s">
        <v>103</v>
      </c>
      <c r="E446" s="3" t="s">
        <v>99</v>
      </c>
      <c r="F446" s="3" t="s">
        <v>286</v>
      </c>
      <c r="G446" s="4" t="s">
        <v>547</v>
      </c>
      <c r="H446" s="7">
        <v>2</v>
      </c>
      <c r="I446" s="4" t="s">
        <v>89</v>
      </c>
      <c r="J446" s="4" t="s">
        <v>820</v>
      </c>
      <c r="K446" s="6"/>
      <c r="L446" s="6"/>
      <c r="M446" s="6"/>
      <c r="N446" s="6"/>
      <c r="P446" s="4" t="s">
        <v>820</v>
      </c>
    </row>
    <row r="447" spans="1:16" x14ac:dyDescent="0.25">
      <c r="A447" s="3" t="str">
        <f t="shared" si="6"/>
        <v>QUNIO313</v>
      </c>
      <c r="B447" s="3" t="s">
        <v>769</v>
      </c>
      <c r="C447" s="3" t="s">
        <v>147</v>
      </c>
      <c r="D447" s="3" t="s">
        <v>105</v>
      </c>
      <c r="E447" s="3" t="s">
        <v>99</v>
      </c>
      <c r="F447" s="3" t="s">
        <v>286</v>
      </c>
      <c r="G447" s="4" t="s">
        <v>581</v>
      </c>
      <c r="H447" s="7">
        <v>1</v>
      </c>
      <c r="I447" s="4" t="s">
        <v>92</v>
      </c>
      <c r="J447" s="4" t="s">
        <v>786</v>
      </c>
      <c r="K447" s="6"/>
      <c r="L447" s="6"/>
      <c r="M447" s="6"/>
      <c r="N447" s="6"/>
      <c r="P447" s="4" t="s">
        <v>786</v>
      </c>
    </row>
    <row r="448" spans="1:16" x14ac:dyDescent="0.25">
      <c r="A448" s="3" t="str">
        <f t="shared" si="6"/>
        <v>RANIO314</v>
      </c>
      <c r="B448" s="3" t="s">
        <v>383</v>
      </c>
      <c r="C448" s="3" t="s">
        <v>147</v>
      </c>
      <c r="D448" s="3" t="s">
        <v>104</v>
      </c>
      <c r="E448" s="3" t="s">
        <v>99</v>
      </c>
      <c r="F448" s="3" t="s">
        <v>286</v>
      </c>
      <c r="G448" s="4" t="s">
        <v>594</v>
      </c>
      <c r="H448" s="7">
        <v>2</v>
      </c>
      <c r="I448" s="4" t="s">
        <v>92</v>
      </c>
      <c r="J448" s="4" t="s">
        <v>820</v>
      </c>
      <c r="K448" s="6"/>
      <c r="L448" s="6"/>
      <c r="M448" s="6"/>
      <c r="N448" s="6"/>
      <c r="P448" s="4" t="s">
        <v>820</v>
      </c>
    </row>
    <row r="449" spans="1:16" x14ac:dyDescent="0.25">
      <c r="A449" s="3" t="str">
        <f t="shared" si="6"/>
        <v>ROVID1016</v>
      </c>
      <c r="B449" s="3" t="s">
        <v>409</v>
      </c>
      <c r="C449" s="3" t="s">
        <v>147</v>
      </c>
      <c r="D449" s="3" t="s">
        <v>105</v>
      </c>
      <c r="E449" s="3" t="s">
        <v>99</v>
      </c>
      <c r="F449" s="3" t="s">
        <v>286</v>
      </c>
      <c r="G449" s="4" t="s">
        <v>630</v>
      </c>
      <c r="H449" s="7">
        <v>3</v>
      </c>
      <c r="I449" s="4" t="s">
        <v>91</v>
      </c>
      <c r="J449" s="4" t="s">
        <v>793</v>
      </c>
      <c r="K449" s="6"/>
      <c r="L449" s="6"/>
      <c r="M449" s="6"/>
      <c r="N449" s="6"/>
      <c r="P449" s="4" t="s">
        <v>793</v>
      </c>
    </row>
    <row r="450" spans="1:16" x14ac:dyDescent="0.25">
      <c r="A450" s="3" t="str">
        <f t="shared" ref="A450:A451" si="7">+CONCATENATE(LEFT(B450,2),RIGHT(B450,3),MONTH(G450),DAY(G450))</f>
        <v>CORIA71</v>
      </c>
      <c r="B450" s="3" t="s">
        <v>12</v>
      </c>
      <c r="C450" s="3" t="s">
        <v>157</v>
      </c>
      <c r="D450" s="3" t="s">
        <v>150</v>
      </c>
      <c r="E450" s="3" t="s">
        <v>100</v>
      </c>
      <c r="F450" s="3" t="s">
        <v>218</v>
      </c>
      <c r="G450" s="4" t="s">
        <v>143</v>
      </c>
      <c r="H450" s="7">
        <v>2</v>
      </c>
      <c r="I450" s="4" t="s">
        <v>89</v>
      </c>
      <c r="J450" s="4" t="s">
        <v>809</v>
      </c>
      <c r="K450" s="6"/>
      <c r="L450" s="6"/>
      <c r="M450" s="6"/>
      <c r="N450" s="6"/>
      <c r="P450" s="4" t="s">
        <v>809</v>
      </c>
    </row>
    <row r="451" spans="1:16" x14ac:dyDescent="0.25">
      <c r="A451" s="3" t="str">
        <f t="shared" si="7"/>
        <v>RIINA115</v>
      </c>
      <c r="B451" s="3" t="s">
        <v>17</v>
      </c>
      <c r="C451" s="3" t="s">
        <v>157</v>
      </c>
      <c r="D451" s="3" t="s">
        <v>105</v>
      </c>
      <c r="E451" s="3" t="s">
        <v>100</v>
      </c>
      <c r="F451" s="3" t="s">
        <v>218</v>
      </c>
      <c r="G451" s="4" t="s">
        <v>606</v>
      </c>
      <c r="H451" s="7">
        <v>3</v>
      </c>
      <c r="I451" s="4" t="s">
        <v>89</v>
      </c>
      <c r="J451" s="4" t="s">
        <v>794</v>
      </c>
      <c r="K451" s="6"/>
      <c r="L451" s="6"/>
      <c r="M451" s="6"/>
      <c r="N451" s="6"/>
      <c r="P451" s="4" t="s">
        <v>794</v>
      </c>
    </row>
  </sheetData>
  <autoFilter ref="A1:N451" xr:uid="{00000000-0009-0000-0000-000000000000}">
    <sortState xmlns:xlrd2="http://schemas.microsoft.com/office/spreadsheetml/2017/richdata2" ref="A2:N451">
      <sortCondition ref="F1:F451"/>
    </sortState>
  </autoFilter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E7"/>
  <sheetViews>
    <sheetView workbookViewId="0">
      <pane ySplit="3" topLeftCell="A4" activePane="bottomLeft" state="frozen"/>
      <selection pane="bottomLeft" activeCell="D12" sqref="D12"/>
    </sheetView>
  </sheetViews>
  <sheetFormatPr baseColWidth="10" defaultColWidth="11.42578125" defaultRowHeight="18" x14ac:dyDescent="0.35"/>
  <cols>
    <col min="1" max="1" width="17.85546875" style="2" bestFit="1" customWidth="1"/>
    <col min="2" max="2" width="14.140625" style="2" bestFit="1" customWidth="1"/>
    <col min="3" max="3" width="13.7109375" style="2" bestFit="1" customWidth="1"/>
    <col min="4" max="4" width="37.28515625" style="2" customWidth="1"/>
    <col min="5" max="16384" width="11.42578125" style="2"/>
  </cols>
  <sheetData>
    <row r="1" spans="1:5" ht="18.75" thickBot="1" x14ac:dyDescent="0.4">
      <c r="A1" s="26" t="s">
        <v>783</v>
      </c>
      <c r="B1" s="27"/>
      <c r="C1" s="27"/>
      <c r="D1" s="27"/>
    </row>
    <row r="2" spans="1:5" x14ac:dyDescent="0.35">
      <c r="A2" s="28" t="s">
        <v>106</v>
      </c>
      <c r="B2" s="24" t="s">
        <v>109</v>
      </c>
      <c r="C2" s="24" t="s">
        <v>108</v>
      </c>
      <c r="D2" s="24" t="s">
        <v>107</v>
      </c>
      <c r="E2" s="24" t="s">
        <v>0</v>
      </c>
    </row>
    <row r="3" spans="1:5" ht="18.75" thickBot="1" x14ac:dyDescent="0.4">
      <c r="A3" s="29"/>
      <c r="B3" s="25"/>
      <c r="C3" s="25"/>
      <c r="D3" s="25"/>
      <c r="E3" s="25"/>
    </row>
    <row r="4" spans="1:5" x14ac:dyDescent="0.35">
      <c r="A4" s="8" t="s">
        <v>91</v>
      </c>
      <c r="B4" s="8">
        <v>1.55E-2</v>
      </c>
      <c r="C4" s="8">
        <v>1.35E-2</v>
      </c>
      <c r="D4" s="8">
        <v>0.1</v>
      </c>
      <c r="E4" s="8">
        <f>+SUM(B4:D4)</f>
        <v>0.129</v>
      </c>
    </row>
    <row r="5" spans="1:5" x14ac:dyDescent="0.35">
      <c r="A5" s="9" t="s">
        <v>92</v>
      </c>
      <c r="B5" s="9">
        <v>1.6E-2</v>
      </c>
      <c r="C5" s="9">
        <v>1.35E-2</v>
      </c>
      <c r="D5" s="9">
        <v>0.1</v>
      </c>
      <c r="E5" s="9">
        <f t="shared" ref="E5:E7" si="0">+SUM(B5:D5)</f>
        <v>0.1295</v>
      </c>
    </row>
    <row r="6" spans="1:5" x14ac:dyDescent="0.35">
      <c r="A6" s="8" t="s">
        <v>90</v>
      </c>
      <c r="B6" s="8">
        <v>1.6899999999999998E-2</v>
      </c>
      <c r="C6" s="8">
        <v>1.35E-2</v>
      </c>
      <c r="D6" s="8">
        <v>0.1</v>
      </c>
      <c r="E6" s="8">
        <f t="shared" si="0"/>
        <v>0.13040000000000002</v>
      </c>
    </row>
    <row r="7" spans="1:5" ht="18.75" thickBot="1" x14ac:dyDescent="0.4">
      <c r="A7" s="10" t="s">
        <v>89</v>
      </c>
      <c r="B7" s="10"/>
      <c r="C7" s="10"/>
      <c r="D7" s="10">
        <v>0.13</v>
      </c>
      <c r="E7" s="10">
        <f t="shared" si="0"/>
        <v>0.13</v>
      </c>
    </row>
  </sheetData>
  <mergeCells count="6">
    <mergeCell ref="E2:E3"/>
    <mergeCell ref="A1:D1"/>
    <mergeCell ref="A2:A3"/>
    <mergeCell ref="D2:D3"/>
    <mergeCell ref="B2:B3"/>
    <mergeCell ref="C2:C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4517-2D49-4A2D-BA7F-5031869C81CE}">
  <sheetPr codeName="Hoja2"/>
  <dimension ref="A2:H6"/>
  <sheetViews>
    <sheetView showGridLines="0" zoomScale="150" zoomScaleNormal="150" workbookViewId="0">
      <selection activeCell="B3" sqref="B3"/>
    </sheetView>
  </sheetViews>
  <sheetFormatPr baseColWidth="10" defaultColWidth="11.5703125" defaultRowHeight="15" x14ac:dyDescent="0.25"/>
  <cols>
    <col min="1" max="1" width="14.28515625" style="11" bestFit="1" customWidth="1"/>
    <col min="2" max="4" width="9.5703125" style="11" customWidth="1"/>
    <col min="5" max="5" width="11.5703125" style="11"/>
    <col min="6" max="6" width="16.42578125" style="11" bestFit="1" customWidth="1"/>
    <col min="7" max="7" width="11.5703125" style="11"/>
    <col min="8" max="8" width="17.28515625" style="11" bestFit="1" customWidth="1"/>
    <col min="9" max="16384" width="11.5703125" style="11"/>
  </cols>
  <sheetData>
    <row r="2" spans="1:8" x14ac:dyDescent="0.25">
      <c r="A2" s="15"/>
      <c r="B2" s="14" t="s">
        <v>831</v>
      </c>
      <c r="C2" s="14" t="s">
        <v>830</v>
      </c>
      <c r="D2" s="14" t="s">
        <v>832</v>
      </c>
      <c r="E2" s="12"/>
      <c r="F2" s="13"/>
      <c r="G2" s="14" t="s">
        <v>833</v>
      </c>
      <c r="H2" s="14" t="s">
        <v>834</v>
      </c>
    </row>
    <row r="3" spans="1:8" x14ac:dyDescent="0.25">
      <c r="A3" s="15" t="s">
        <v>3</v>
      </c>
      <c r="B3" s="16"/>
      <c r="C3" s="16"/>
      <c r="D3" s="16"/>
      <c r="F3" s="15" t="s">
        <v>100</v>
      </c>
      <c r="G3" s="16"/>
      <c r="H3" s="16"/>
    </row>
    <row r="4" spans="1:8" x14ac:dyDescent="0.25">
      <c r="F4" s="15" t="s">
        <v>101</v>
      </c>
      <c r="G4" s="16"/>
      <c r="H4" s="16"/>
    </row>
    <row r="5" spans="1:8" x14ac:dyDescent="0.25">
      <c r="F5" s="15" t="s">
        <v>99</v>
      </c>
      <c r="G5" s="16"/>
      <c r="H5" s="16"/>
    </row>
    <row r="6" spans="1:8" x14ac:dyDescent="0.25">
      <c r="F6" s="15" t="s">
        <v>102</v>
      </c>
      <c r="G6" s="16"/>
      <c r="H6" s="1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N20"/>
  <sheetViews>
    <sheetView zoomScale="80" zoomScaleNormal="80" workbookViewId="0"/>
  </sheetViews>
  <sheetFormatPr baseColWidth="10" defaultRowHeight="15" x14ac:dyDescent="0.25"/>
  <cols>
    <col min="1" max="1" width="7.85546875" bestFit="1" customWidth="1"/>
    <col min="2" max="2" width="20.7109375" bestFit="1" customWidth="1"/>
    <col min="3" max="3" width="5.42578125" bestFit="1" customWidth="1"/>
    <col min="4" max="4" width="6" bestFit="1" customWidth="1"/>
    <col min="5" max="5" width="5.5703125" bestFit="1" customWidth="1"/>
    <col min="6" max="6" width="7.140625" bestFit="1" customWidth="1"/>
    <col min="7" max="7" width="14.5703125" bestFit="1" customWidth="1"/>
    <col min="8" max="8" width="10.7109375" bestFit="1" customWidth="1"/>
    <col min="9" max="9" width="8.7109375" bestFit="1" customWidth="1"/>
    <col min="10" max="10" width="14.42578125" bestFit="1" customWidth="1"/>
    <col min="11" max="11" width="21" bestFit="1" customWidth="1"/>
    <col min="12" max="12" width="21.5703125" bestFit="1" customWidth="1"/>
    <col min="13" max="13" width="19.5703125" bestFit="1" customWidth="1"/>
    <col min="14" max="14" width="20.28515625" bestFit="1" customWidth="1"/>
  </cols>
  <sheetData>
    <row r="1" spans="1:14" x14ac:dyDescent="0.25">
      <c r="A1" s="5" t="s">
        <v>1</v>
      </c>
      <c r="B1" s="5" t="s">
        <v>2</v>
      </c>
      <c r="C1" s="5" t="s">
        <v>420</v>
      </c>
      <c r="D1" s="5" t="s">
        <v>421</v>
      </c>
      <c r="E1" s="5" t="s">
        <v>98</v>
      </c>
      <c r="F1" s="5" t="s">
        <v>422</v>
      </c>
      <c r="G1" s="5" t="s">
        <v>423</v>
      </c>
      <c r="H1" s="5" t="s">
        <v>97</v>
      </c>
      <c r="I1" s="5" t="s">
        <v>95</v>
      </c>
      <c r="J1" s="5" t="s">
        <v>3</v>
      </c>
      <c r="K1" s="5" t="s">
        <v>4</v>
      </c>
      <c r="L1" s="5" t="s">
        <v>93</v>
      </c>
      <c r="M1" s="5" t="s">
        <v>94</v>
      </c>
      <c r="N1" s="5" t="s">
        <v>96</v>
      </c>
    </row>
    <row r="2" spans="1:14" x14ac:dyDescent="0.25">
      <c r="A2" s="5" t="s">
        <v>1</v>
      </c>
      <c r="B2" s="5" t="s">
        <v>2</v>
      </c>
      <c r="C2" s="5" t="s">
        <v>420</v>
      </c>
      <c r="D2" s="5" t="s">
        <v>421</v>
      </c>
      <c r="E2" s="5" t="s">
        <v>98</v>
      </c>
      <c r="F2" s="5" t="s">
        <v>422</v>
      </c>
      <c r="G2" s="5" t="s">
        <v>423</v>
      </c>
      <c r="H2" s="5" t="s">
        <v>97</v>
      </c>
      <c r="I2" s="5" t="s">
        <v>95</v>
      </c>
      <c r="J2" s="5" t="s">
        <v>3</v>
      </c>
      <c r="K2" s="5" t="s">
        <v>4</v>
      </c>
      <c r="L2" s="5" t="s">
        <v>93</v>
      </c>
      <c r="M2" s="5" t="s">
        <v>94</v>
      </c>
      <c r="N2" s="5" t="s">
        <v>96</v>
      </c>
    </row>
    <row r="3" spans="1:14" x14ac:dyDescent="0.25">
      <c r="A3" s="5" t="s">
        <v>1</v>
      </c>
      <c r="B3" s="5" t="s">
        <v>2</v>
      </c>
      <c r="C3" s="5" t="s">
        <v>420</v>
      </c>
      <c r="D3" s="5" t="s">
        <v>421</v>
      </c>
      <c r="E3" s="5" t="s">
        <v>98</v>
      </c>
      <c r="F3" s="5" t="s">
        <v>422</v>
      </c>
      <c r="G3" s="5" t="s">
        <v>423</v>
      </c>
      <c r="H3" s="5" t="s">
        <v>97</v>
      </c>
      <c r="I3" s="5" t="s">
        <v>95</v>
      </c>
      <c r="J3" s="5" t="s">
        <v>3</v>
      </c>
      <c r="K3" s="5" t="s">
        <v>4</v>
      </c>
      <c r="L3" s="5" t="s">
        <v>93</v>
      </c>
      <c r="M3" s="5" t="s">
        <v>94</v>
      </c>
      <c r="N3" s="5" t="s">
        <v>96</v>
      </c>
    </row>
    <row r="4" spans="1:14" x14ac:dyDescent="0.25">
      <c r="A4" s="5" t="s">
        <v>1</v>
      </c>
      <c r="B4" s="5" t="s">
        <v>2</v>
      </c>
      <c r="C4" s="5" t="s">
        <v>420</v>
      </c>
      <c r="D4" s="5" t="s">
        <v>421</v>
      </c>
      <c r="E4" s="5" t="s">
        <v>98</v>
      </c>
      <c r="F4" s="5" t="s">
        <v>422</v>
      </c>
      <c r="G4" s="5" t="s">
        <v>423</v>
      </c>
      <c r="H4" s="5" t="s">
        <v>97</v>
      </c>
      <c r="I4" s="5" t="s">
        <v>95</v>
      </c>
      <c r="J4" s="5" t="s">
        <v>3</v>
      </c>
      <c r="K4" s="5" t="s">
        <v>4</v>
      </c>
      <c r="L4" s="5" t="s">
        <v>93</v>
      </c>
      <c r="M4" s="5" t="s">
        <v>94</v>
      </c>
      <c r="N4" s="5" t="s">
        <v>96</v>
      </c>
    </row>
    <row r="5" spans="1:14" x14ac:dyDescent="0.25">
      <c r="A5" s="5" t="s">
        <v>1</v>
      </c>
      <c r="B5" s="5" t="s">
        <v>2</v>
      </c>
      <c r="C5" s="5" t="s">
        <v>420</v>
      </c>
      <c r="D5" s="5" t="s">
        <v>421</v>
      </c>
      <c r="E5" s="5" t="s">
        <v>98</v>
      </c>
      <c r="F5" s="5" t="s">
        <v>422</v>
      </c>
      <c r="G5" s="5" t="s">
        <v>423</v>
      </c>
      <c r="H5" s="5" t="s">
        <v>97</v>
      </c>
      <c r="I5" s="5" t="s">
        <v>95</v>
      </c>
      <c r="J5" s="5" t="s">
        <v>3</v>
      </c>
      <c r="K5" s="5" t="s">
        <v>4</v>
      </c>
      <c r="L5" s="5" t="s">
        <v>93</v>
      </c>
      <c r="M5" s="5" t="s">
        <v>94</v>
      </c>
      <c r="N5" s="5" t="s">
        <v>96</v>
      </c>
    </row>
    <row r="6" spans="1:14" x14ac:dyDescent="0.25">
      <c r="A6" s="5" t="s">
        <v>1</v>
      </c>
      <c r="B6" s="5" t="s">
        <v>2</v>
      </c>
      <c r="C6" s="5" t="s">
        <v>420</v>
      </c>
      <c r="D6" s="5" t="s">
        <v>421</v>
      </c>
      <c r="E6" s="5" t="s">
        <v>98</v>
      </c>
      <c r="F6" s="5" t="s">
        <v>422</v>
      </c>
      <c r="G6" s="5" t="s">
        <v>423</v>
      </c>
      <c r="H6" s="5" t="s">
        <v>97</v>
      </c>
      <c r="I6" s="5" t="s">
        <v>95</v>
      </c>
      <c r="J6" s="5" t="s">
        <v>3</v>
      </c>
      <c r="K6" s="5" t="s">
        <v>4</v>
      </c>
      <c r="L6" s="5" t="s">
        <v>93</v>
      </c>
      <c r="M6" s="5" t="s">
        <v>94</v>
      </c>
      <c r="N6" s="5" t="s">
        <v>96</v>
      </c>
    </row>
    <row r="7" spans="1:14" x14ac:dyDescent="0.25">
      <c r="A7" s="5" t="s">
        <v>1</v>
      </c>
      <c r="B7" s="5" t="s">
        <v>2</v>
      </c>
      <c r="C7" s="5" t="s">
        <v>420</v>
      </c>
      <c r="D7" s="5" t="s">
        <v>421</v>
      </c>
      <c r="E7" s="5" t="s">
        <v>98</v>
      </c>
      <c r="F7" s="5" t="s">
        <v>422</v>
      </c>
      <c r="G7" s="5" t="s">
        <v>423</v>
      </c>
      <c r="H7" s="5" t="s">
        <v>97</v>
      </c>
      <c r="I7" s="5" t="s">
        <v>95</v>
      </c>
      <c r="J7" s="5" t="s">
        <v>3</v>
      </c>
      <c r="K7" s="5" t="s">
        <v>4</v>
      </c>
      <c r="L7" s="5" t="s">
        <v>93</v>
      </c>
      <c r="M7" s="5" t="s">
        <v>94</v>
      </c>
      <c r="N7" s="5" t="s">
        <v>96</v>
      </c>
    </row>
    <row r="8" spans="1:14" x14ac:dyDescent="0.25">
      <c r="A8" s="5" t="s">
        <v>1</v>
      </c>
      <c r="B8" s="5" t="s">
        <v>2</v>
      </c>
      <c r="C8" s="5" t="s">
        <v>420</v>
      </c>
      <c r="D8" s="5" t="s">
        <v>421</v>
      </c>
      <c r="E8" s="5" t="s">
        <v>98</v>
      </c>
      <c r="F8" s="5" t="s">
        <v>422</v>
      </c>
      <c r="G8" s="5" t="s">
        <v>423</v>
      </c>
      <c r="H8" s="5" t="s">
        <v>97</v>
      </c>
      <c r="I8" s="5" t="s">
        <v>95</v>
      </c>
      <c r="J8" s="5" t="s">
        <v>3</v>
      </c>
      <c r="K8" s="5" t="s">
        <v>4</v>
      </c>
      <c r="L8" s="5" t="s">
        <v>93</v>
      </c>
      <c r="M8" s="5" t="s">
        <v>94</v>
      </c>
      <c r="N8" s="5" t="s">
        <v>96</v>
      </c>
    </row>
    <row r="9" spans="1:14" x14ac:dyDescent="0.25">
      <c r="A9" s="5" t="s">
        <v>1</v>
      </c>
      <c r="B9" s="5" t="s">
        <v>2</v>
      </c>
      <c r="C9" s="5" t="s">
        <v>420</v>
      </c>
      <c r="D9" s="5" t="s">
        <v>421</v>
      </c>
      <c r="E9" s="5" t="s">
        <v>98</v>
      </c>
      <c r="F9" s="5" t="s">
        <v>422</v>
      </c>
      <c r="G9" s="5" t="s">
        <v>423</v>
      </c>
      <c r="H9" s="5" t="s">
        <v>97</v>
      </c>
      <c r="I9" s="5" t="s">
        <v>95</v>
      </c>
      <c r="J9" s="5" t="s">
        <v>3</v>
      </c>
      <c r="K9" s="5" t="s">
        <v>4</v>
      </c>
      <c r="L9" s="5" t="s">
        <v>93</v>
      </c>
      <c r="M9" s="5" t="s">
        <v>94</v>
      </c>
      <c r="N9" s="5" t="s">
        <v>96</v>
      </c>
    </row>
    <row r="10" spans="1:14" x14ac:dyDescent="0.25">
      <c r="A10" s="5" t="s">
        <v>1</v>
      </c>
      <c r="B10" s="5" t="s">
        <v>2</v>
      </c>
      <c r="C10" s="5" t="s">
        <v>420</v>
      </c>
      <c r="D10" s="5" t="s">
        <v>421</v>
      </c>
      <c r="E10" s="5" t="s">
        <v>98</v>
      </c>
      <c r="F10" s="5" t="s">
        <v>422</v>
      </c>
      <c r="G10" s="5" t="s">
        <v>423</v>
      </c>
      <c r="H10" s="5" t="s">
        <v>97</v>
      </c>
      <c r="I10" s="5" t="s">
        <v>95</v>
      </c>
      <c r="J10" s="5" t="s">
        <v>3</v>
      </c>
      <c r="K10" s="5" t="s">
        <v>4</v>
      </c>
      <c r="L10" s="5" t="s">
        <v>93</v>
      </c>
      <c r="M10" s="5" t="s">
        <v>94</v>
      </c>
      <c r="N10" s="5" t="s">
        <v>96</v>
      </c>
    </row>
    <row r="11" spans="1:14" x14ac:dyDescent="0.25">
      <c r="A11" s="5" t="s">
        <v>1</v>
      </c>
      <c r="B11" s="5" t="s">
        <v>2</v>
      </c>
      <c r="C11" s="5" t="s">
        <v>420</v>
      </c>
      <c r="D11" s="5" t="s">
        <v>421</v>
      </c>
      <c r="E11" s="5" t="s">
        <v>98</v>
      </c>
      <c r="F11" s="5" t="s">
        <v>422</v>
      </c>
      <c r="G11" s="5" t="s">
        <v>423</v>
      </c>
      <c r="H11" s="5" t="s">
        <v>97</v>
      </c>
      <c r="I11" s="5" t="s">
        <v>95</v>
      </c>
      <c r="J11" s="5" t="s">
        <v>3</v>
      </c>
      <c r="K11" s="5" t="s">
        <v>4</v>
      </c>
      <c r="L11" s="5" t="s">
        <v>93</v>
      </c>
      <c r="M11" s="5" t="s">
        <v>94</v>
      </c>
      <c r="N11" s="5" t="s">
        <v>96</v>
      </c>
    </row>
    <row r="12" spans="1:14" x14ac:dyDescent="0.25">
      <c r="A12" s="5" t="s">
        <v>1</v>
      </c>
      <c r="B12" s="5" t="s">
        <v>2</v>
      </c>
      <c r="C12" s="5" t="s">
        <v>420</v>
      </c>
      <c r="D12" s="5" t="s">
        <v>421</v>
      </c>
      <c r="E12" s="5" t="s">
        <v>98</v>
      </c>
      <c r="F12" s="5" t="s">
        <v>422</v>
      </c>
      <c r="G12" s="5" t="s">
        <v>423</v>
      </c>
      <c r="H12" s="5" t="s">
        <v>97</v>
      </c>
      <c r="I12" s="5" t="s">
        <v>95</v>
      </c>
      <c r="J12" s="5" t="s">
        <v>3</v>
      </c>
      <c r="K12" s="5" t="s">
        <v>4</v>
      </c>
      <c r="L12" s="5" t="s">
        <v>93</v>
      </c>
      <c r="M12" s="5" t="s">
        <v>94</v>
      </c>
      <c r="N12" s="5" t="s">
        <v>96</v>
      </c>
    </row>
    <row r="13" spans="1:14" x14ac:dyDescent="0.25">
      <c r="A13" s="5" t="s">
        <v>1</v>
      </c>
      <c r="B13" s="5" t="s">
        <v>2</v>
      </c>
      <c r="C13" s="5" t="s">
        <v>420</v>
      </c>
      <c r="D13" s="5" t="s">
        <v>421</v>
      </c>
      <c r="E13" s="5" t="s">
        <v>98</v>
      </c>
      <c r="F13" s="5" t="s">
        <v>422</v>
      </c>
      <c r="G13" s="5" t="s">
        <v>423</v>
      </c>
      <c r="H13" s="5" t="s">
        <v>97</v>
      </c>
      <c r="I13" s="5" t="s">
        <v>95</v>
      </c>
      <c r="J13" s="5" t="s">
        <v>3</v>
      </c>
      <c r="K13" s="5" t="s">
        <v>4</v>
      </c>
      <c r="L13" s="5" t="s">
        <v>93</v>
      </c>
      <c r="M13" s="5" t="s">
        <v>94</v>
      </c>
      <c r="N13" s="5" t="s">
        <v>96</v>
      </c>
    </row>
    <row r="14" spans="1:14" x14ac:dyDescent="0.25">
      <c r="A14" s="5" t="s">
        <v>1</v>
      </c>
      <c r="B14" s="5" t="s">
        <v>2</v>
      </c>
      <c r="C14" s="5" t="s">
        <v>420</v>
      </c>
      <c r="D14" s="5" t="s">
        <v>421</v>
      </c>
      <c r="E14" s="5" t="s">
        <v>98</v>
      </c>
      <c r="F14" s="5" t="s">
        <v>422</v>
      </c>
      <c r="G14" s="5" t="s">
        <v>423</v>
      </c>
      <c r="H14" s="5" t="s">
        <v>97</v>
      </c>
      <c r="I14" s="5" t="s">
        <v>95</v>
      </c>
      <c r="J14" s="5" t="s">
        <v>3</v>
      </c>
      <c r="K14" s="5" t="s">
        <v>4</v>
      </c>
      <c r="L14" s="5" t="s">
        <v>93</v>
      </c>
      <c r="M14" s="5" t="s">
        <v>94</v>
      </c>
      <c r="N14" s="5" t="s">
        <v>96</v>
      </c>
    </row>
    <row r="15" spans="1:14" x14ac:dyDescent="0.25">
      <c r="A15" s="5" t="s">
        <v>1</v>
      </c>
      <c r="B15" s="5" t="s">
        <v>2</v>
      </c>
      <c r="C15" s="5" t="s">
        <v>420</v>
      </c>
      <c r="D15" s="5" t="s">
        <v>421</v>
      </c>
      <c r="E15" s="5" t="s">
        <v>98</v>
      </c>
      <c r="F15" s="5" t="s">
        <v>422</v>
      </c>
      <c r="G15" s="5" t="s">
        <v>423</v>
      </c>
      <c r="H15" s="5" t="s">
        <v>97</v>
      </c>
      <c r="I15" s="5" t="s">
        <v>95</v>
      </c>
      <c r="J15" s="5" t="s">
        <v>3</v>
      </c>
      <c r="K15" s="5" t="s">
        <v>4</v>
      </c>
      <c r="L15" s="5" t="s">
        <v>93</v>
      </c>
      <c r="M15" s="5" t="s">
        <v>94</v>
      </c>
      <c r="N15" s="5" t="s">
        <v>96</v>
      </c>
    </row>
    <row r="16" spans="1:14" x14ac:dyDescent="0.25">
      <c r="A16" s="5" t="s">
        <v>1</v>
      </c>
      <c r="B16" s="5" t="s">
        <v>2</v>
      </c>
      <c r="C16" s="5" t="s">
        <v>420</v>
      </c>
      <c r="D16" s="5" t="s">
        <v>421</v>
      </c>
      <c r="E16" s="5" t="s">
        <v>98</v>
      </c>
      <c r="F16" s="5" t="s">
        <v>422</v>
      </c>
      <c r="G16" s="5" t="s">
        <v>423</v>
      </c>
      <c r="H16" s="5" t="s">
        <v>97</v>
      </c>
      <c r="I16" s="5" t="s">
        <v>95</v>
      </c>
      <c r="J16" s="5" t="s">
        <v>3</v>
      </c>
      <c r="K16" s="5" t="s">
        <v>4</v>
      </c>
      <c r="L16" s="5" t="s">
        <v>93</v>
      </c>
      <c r="M16" s="5" t="s">
        <v>94</v>
      </c>
      <c r="N16" s="5" t="s">
        <v>96</v>
      </c>
    </row>
    <row r="17" spans="1:14" x14ac:dyDescent="0.25">
      <c r="A17" s="5" t="s">
        <v>1</v>
      </c>
      <c r="B17" s="5" t="s">
        <v>2</v>
      </c>
      <c r="C17" s="5" t="s">
        <v>420</v>
      </c>
      <c r="D17" s="5" t="s">
        <v>421</v>
      </c>
      <c r="E17" s="5" t="s">
        <v>98</v>
      </c>
      <c r="F17" s="5" t="s">
        <v>422</v>
      </c>
      <c r="G17" s="5" t="s">
        <v>423</v>
      </c>
      <c r="H17" s="5" t="s">
        <v>97</v>
      </c>
      <c r="I17" s="5" t="s">
        <v>95</v>
      </c>
      <c r="J17" s="5" t="s">
        <v>3</v>
      </c>
      <c r="K17" s="5" t="s">
        <v>4</v>
      </c>
      <c r="L17" s="5" t="s">
        <v>93</v>
      </c>
      <c r="M17" s="5" t="s">
        <v>94</v>
      </c>
      <c r="N17" s="5" t="s">
        <v>96</v>
      </c>
    </row>
    <row r="18" spans="1:14" x14ac:dyDescent="0.25">
      <c r="A18" s="5" t="s">
        <v>1</v>
      </c>
      <c r="B18" s="5" t="s">
        <v>2</v>
      </c>
      <c r="C18" s="5" t="s">
        <v>420</v>
      </c>
      <c r="D18" s="5" t="s">
        <v>421</v>
      </c>
      <c r="E18" s="5" t="s">
        <v>98</v>
      </c>
      <c r="F18" s="5" t="s">
        <v>422</v>
      </c>
      <c r="G18" s="5" t="s">
        <v>423</v>
      </c>
      <c r="H18" s="5" t="s">
        <v>97</v>
      </c>
      <c r="I18" s="5" t="s">
        <v>95</v>
      </c>
      <c r="J18" s="5" t="s">
        <v>3</v>
      </c>
      <c r="K18" s="5" t="s">
        <v>4</v>
      </c>
      <c r="L18" s="5" t="s">
        <v>93</v>
      </c>
      <c r="M18" s="5" t="s">
        <v>94</v>
      </c>
      <c r="N18" s="5" t="s">
        <v>96</v>
      </c>
    </row>
    <row r="19" spans="1:14" x14ac:dyDescent="0.25">
      <c r="A19" s="5" t="s">
        <v>1</v>
      </c>
      <c r="B19" s="5" t="s">
        <v>2</v>
      </c>
      <c r="C19" s="5" t="s">
        <v>420</v>
      </c>
      <c r="D19" s="5" t="s">
        <v>421</v>
      </c>
      <c r="E19" s="5" t="s">
        <v>98</v>
      </c>
      <c r="F19" s="5" t="s">
        <v>422</v>
      </c>
      <c r="G19" s="5" t="s">
        <v>423</v>
      </c>
      <c r="H19" s="5" t="s">
        <v>97</v>
      </c>
      <c r="I19" s="5" t="s">
        <v>95</v>
      </c>
      <c r="J19" s="5" t="s">
        <v>3</v>
      </c>
      <c r="K19" s="5" t="s">
        <v>4</v>
      </c>
      <c r="L19" s="5" t="s">
        <v>93</v>
      </c>
      <c r="M19" s="5" t="s">
        <v>94</v>
      </c>
      <c r="N19" s="5" t="s">
        <v>96</v>
      </c>
    </row>
    <row r="20" spans="1:14" x14ac:dyDescent="0.25">
      <c r="A20" s="5" t="s">
        <v>1</v>
      </c>
      <c r="B20" s="5" t="s">
        <v>2</v>
      </c>
      <c r="C20" s="5" t="s">
        <v>420</v>
      </c>
      <c r="D20" s="5" t="s">
        <v>421</v>
      </c>
      <c r="E20" s="5" t="s">
        <v>98</v>
      </c>
      <c r="F20" s="5" t="s">
        <v>422</v>
      </c>
      <c r="G20" s="5" t="s">
        <v>423</v>
      </c>
      <c r="H20" s="5" t="s">
        <v>97</v>
      </c>
      <c r="I20" s="5" t="s">
        <v>95</v>
      </c>
      <c r="J20" s="5" t="s">
        <v>3</v>
      </c>
      <c r="K20" s="5" t="s">
        <v>4</v>
      </c>
      <c r="L20" s="5" t="s">
        <v>93</v>
      </c>
      <c r="M20" s="5" t="s">
        <v>94</v>
      </c>
      <c r="N20" s="5" t="s">
        <v>96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63F7E-C77C-418E-A464-DE0D523A0DDC}">
  <sheetPr codeName="Hoja6"/>
  <dimension ref="A1:F7"/>
  <sheetViews>
    <sheetView showGridLines="0" tabSelected="1" zoomScale="180" zoomScaleNormal="180" workbookViewId="0">
      <selection activeCell="B9" sqref="B9"/>
    </sheetView>
  </sheetViews>
  <sheetFormatPr baseColWidth="10" defaultColWidth="11.5703125" defaultRowHeight="26.25" x14ac:dyDescent="0.25"/>
  <cols>
    <col min="1" max="1" width="17.140625" style="17" bestFit="1" customWidth="1"/>
    <col min="2" max="2" width="11.5703125" style="17"/>
    <col min="3" max="3" width="17.140625" style="17" bestFit="1" customWidth="1"/>
    <col min="4" max="16384" width="11.5703125" style="17"/>
  </cols>
  <sheetData>
    <row r="1" spans="1:6" x14ac:dyDescent="0.25">
      <c r="A1" s="18" t="s">
        <v>835</v>
      </c>
    </row>
    <row r="3" spans="1:6" x14ac:dyDescent="0.25">
      <c r="C3" s="19" t="str">
        <f>+A1</f>
        <v>Rubén</v>
      </c>
      <c r="D3" s="17" t="str">
        <f ca="1">+_xlfn.FORMULATEXT(C3)</f>
        <v>=+A1</v>
      </c>
    </row>
    <row r="4" spans="1:6" x14ac:dyDescent="0.25">
      <c r="E4" s="23" t="str">
        <f>+$A$1</f>
        <v>Rubén</v>
      </c>
      <c r="F4" s="17" t="str">
        <f ca="1">+_xlfn.FORMULATEXT(E4)</f>
        <v>=+$A$1</v>
      </c>
    </row>
    <row r="5" spans="1:6" x14ac:dyDescent="0.25">
      <c r="A5" s="20" t="s">
        <v>836</v>
      </c>
    </row>
    <row r="7" spans="1:6" x14ac:dyDescent="0.25">
      <c r="C7" s="21" t="str">
        <f>+A5</f>
        <v>Edúcate</v>
      </c>
      <c r="E7" s="17" t="str">
        <f>+$A$1</f>
        <v>Rubén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D8105-1996-48C0-B212-D00FB57291DF}">
  <sheetPr codeName="Hoja7"/>
  <dimension ref="A1"/>
  <sheetViews>
    <sheetView showGridLines="0" zoomScale="200" zoomScaleNormal="200" workbookViewId="0"/>
  </sheetViews>
  <sheetFormatPr baseColWidth="10" defaultColWidth="11.5703125" defaultRowHeight="26.25" x14ac:dyDescent="0.25"/>
  <cols>
    <col min="1" max="16384" width="11.5703125" style="17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Planilla</vt:lpstr>
      <vt:lpstr>Pensión</vt:lpstr>
      <vt:lpstr>Resumen</vt:lpstr>
      <vt:lpstr>Hoja1</vt:lpstr>
      <vt:lpstr>Referencias</vt:lpstr>
      <vt:lpstr>Hoja3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 Tarazona Quispe</dc:creator>
  <cp:lastModifiedBy>Administrador</cp:lastModifiedBy>
  <dcterms:created xsi:type="dcterms:W3CDTF">2016-09-13T23:21:27Z</dcterms:created>
  <dcterms:modified xsi:type="dcterms:W3CDTF">2023-07-31T14:30:39Z</dcterms:modified>
</cp:coreProperties>
</file>