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PACITACIONES\2023\EXCEL\MACROS Y VBA\Clase 11\"/>
    </mc:Choice>
  </mc:AlternateContent>
  <xr:revisionPtr revIDLastSave="0" documentId="13_ncr:1_{7920333A-3333-4788-86DD-7760F953C6E2}" xr6:coauthVersionLast="47" xr6:coauthVersionMax="47" xr10:uidLastSave="{00000000-0000-0000-0000-000000000000}"/>
  <bookViews>
    <workbookView xWindow="-120" yWindow="-120" windowWidth="29040" windowHeight="15840" xr2:uid="{D8CAB148-17FC-453E-922B-D3828E1F6B49}"/>
  </bookViews>
  <sheets>
    <sheet name="Botón" sheetId="1" r:id="rId1"/>
    <sheet name="Meses SBS" sheetId="3" r:id="rId2"/>
    <sheet name="Variables" sheetId="2" r:id="rId3"/>
    <sheet name="Consolidado 1" sheetId="4" r:id="rId4"/>
    <sheet name="Consolidado 2" sheetId="5" r:id="rId5"/>
    <sheet name="Fechas" sheetId="6" r:id="rId6"/>
    <sheet name="Años" sheetId="7" r:id="rId7"/>
  </sheets>
  <definedNames>
    <definedName name="_xlnm._FilterDatabase" localSheetId="4" hidden="1">'Consolidado 2'!$A$1:$D$34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" i="6" l="1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I13" i="3" l="1"/>
  <c r="G13" i="3"/>
  <c r="I12" i="3"/>
  <c r="G12" i="3"/>
  <c r="I11" i="3"/>
  <c r="G11" i="3"/>
  <c r="I10" i="3"/>
  <c r="G10" i="3"/>
  <c r="I9" i="3"/>
  <c r="G9" i="3"/>
  <c r="I8" i="3"/>
  <c r="G8" i="3"/>
  <c r="I7" i="3"/>
  <c r="G7" i="3"/>
  <c r="I6" i="3"/>
  <c r="G6" i="3"/>
  <c r="I5" i="3"/>
  <c r="G5" i="3"/>
  <c r="I4" i="3"/>
  <c r="G4" i="3"/>
  <c r="I3" i="3"/>
  <c r="G3" i="3"/>
  <c r="G2" i="3"/>
  <c r="I2" i="3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C8" i="2"/>
  <c r="D8" i="2"/>
  <c r="E8" i="2"/>
  <c r="F8" i="2"/>
  <c r="G8" i="2"/>
  <c r="H8" i="2"/>
  <c r="I8" i="2"/>
  <c r="J8" i="2"/>
  <c r="K8" i="2"/>
  <c r="L8" i="2"/>
  <c r="M8" i="2"/>
  <c r="N8" i="2"/>
  <c r="N5" i="2"/>
  <c r="M5" i="2"/>
  <c r="L5" i="2"/>
  <c r="K5" i="2"/>
  <c r="J5" i="2"/>
  <c r="I5" i="2"/>
  <c r="H5" i="2"/>
  <c r="G5" i="2"/>
  <c r="F5" i="2"/>
  <c r="E5" i="2"/>
  <c r="D5" i="2"/>
  <c r="C5" i="2"/>
  <c r="E2" i="2"/>
  <c r="F2" i="2" s="1"/>
  <c r="G2" i="2" s="1"/>
  <c r="H2" i="2" s="1"/>
  <c r="I2" i="2" s="1"/>
  <c r="J2" i="2" s="1"/>
  <c r="K2" i="2" s="1"/>
  <c r="L2" i="2" s="1"/>
  <c r="M2" i="2" s="1"/>
  <c r="N2" i="2" s="1"/>
  <c r="D2" i="2"/>
</calcChain>
</file>

<file path=xl/sharedStrings.xml><?xml version="1.0" encoding="utf-8"?>
<sst xmlns="http://schemas.openxmlformats.org/spreadsheetml/2006/main" count="177" uniqueCount="72">
  <si>
    <t>m</t>
  </si>
  <si>
    <t>mes_letras</t>
  </si>
  <si>
    <t>Enero</t>
  </si>
  <si>
    <t>Febrero</t>
  </si>
  <si>
    <t>Diciembre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</si>
  <si>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</si>
  <si>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</si>
  <si>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</si>
  <si>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</si>
  <si>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</si>
  <si>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</si>
  <si>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</si>
  <si>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</si>
  <si>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</si>
  <si>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mes_abreviado</t>
  </si>
  <si>
    <t>en</t>
  </si>
  <si>
    <t>fe</t>
  </si>
  <si>
    <t>ma</t>
  </si>
  <si>
    <t>ab</t>
  </si>
  <si>
    <t>my</t>
  </si>
  <si>
    <t>jn</t>
  </si>
  <si>
    <t>jl</t>
  </si>
  <si>
    <t>ag</t>
  </si>
  <si>
    <t>se</t>
  </si>
  <si>
    <t>oc</t>
  </si>
  <si>
    <t>no</t>
  </si>
  <si>
    <t>di</t>
  </si>
  <si>
    <t>"en"</t>
  </si>
  <si>
    <t>"fe"</t>
  </si>
  <si>
    <t>"ma"</t>
  </si>
  <si>
    <t>"ab"</t>
  </si>
  <si>
    <t>"my"</t>
  </si>
  <si>
    <t>"jn"</t>
  </si>
  <si>
    <t>"jl"</t>
  </si>
  <si>
    <t>"ag"</t>
  </si>
  <si>
    <t>"se"</t>
  </si>
  <si>
    <t>"oc"</t>
  </si>
  <si>
    <t>"no"</t>
  </si>
  <si>
    <t>"di"</t>
  </si>
  <si>
    <t>meses_sbs</t>
  </si>
  <si>
    <t>Período</t>
  </si>
  <si>
    <t>Empresas</t>
  </si>
  <si>
    <t>Vigentes</t>
  </si>
  <si>
    <t>Reestructurados</t>
  </si>
  <si>
    <t>Refinanciados</t>
  </si>
  <si>
    <t>Vencidos</t>
  </si>
  <si>
    <t>Cobranza Judicial</t>
  </si>
  <si>
    <t>Corto Plazo</t>
  </si>
  <si>
    <t>Largo Plazo</t>
  </si>
  <si>
    <t>Reestruct. y Refinanciados</t>
  </si>
  <si>
    <t>B. BBVA Perú</t>
  </si>
  <si>
    <t>B. de Comercio</t>
  </si>
  <si>
    <t>B. de Crédito del Perú (con sucursales en el exterior)</t>
  </si>
  <si>
    <t>B. Pichincha</t>
  </si>
  <si>
    <t>B. Interamericano de Finanzas</t>
  </si>
  <si>
    <t>Scotiabank Perú</t>
  </si>
  <si>
    <t>Citibank</t>
  </si>
  <si>
    <t>Interbank</t>
  </si>
  <si>
    <t>Mibanco</t>
  </si>
  <si>
    <t>B. GNB</t>
  </si>
  <si>
    <t>B. Falabella Perú</t>
  </si>
  <si>
    <t xml:space="preserve">B. Santander Perú </t>
  </si>
  <si>
    <t xml:space="preserve">B. Ripley </t>
  </si>
  <si>
    <r>
      <t>Alfin Banco</t>
    </r>
    <r>
      <rPr>
        <vertAlign val="superscript"/>
        <sz val="8"/>
        <rFont val="Arial Narrow"/>
        <family val="2"/>
      </rPr>
      <t xml:space="preserve"> 1/ </t>
    </r>
  </si>
  <si>
    <t>B. ICBC</t>
  </si>
  <si>
    <t>Bank of China</t>
  </si>
  <si>
    <t>Situación</t>
  </si>
  <si>
    <t>Monto</t>
  </si>
  <si>
    <t>Vigente</t>
  </si>
  <si>
    <t>"31/12/2016"</t>
  </si>
  <si>
    <t>=</t>
  </si>
  <si>
    <t>https://intranet2.sbs.gob.pe/estadistica/financiera/2022/Enero/B-2315-en2022.XLS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</si>
</sst>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A\l\ dd\ &quot;de&quot;\ mmmm\ &quot;de&quot;\ yyyy"/>
    <numFmt numFmtId="165" formatCode="_ * #,##0.00_ ;_ * \-#,##0.00_ ;_ * &quot;-&quot;??_ ;_ @_ "/>
    <numFmt numFmtId="166" formatCode="_ * #,##0_ ;_ * \-#,##0_ ;_ * &quot;-&quot;_ ;_ @_ "/>
  </numFmts>
  <fonts count="14" x14ac:knownFonts="1">
    <font>
      <sz val="16"/>
      <color theme="1"/>
      <name val="Lucida Sans"/>
      <family val="2"/>
    </font>
    <font>
      <sz val="16"/>
      <color theme="1"/>
      <name val="Courier New"/>
      <family val="3"/>
    </font>
    <font>
      <b/>
      <sz val="16"/>
      <color theme="1"/>
      <name val="Courier New"/>
      <family val="3"/>
    </font>
    <font>
      <sz val="8"/>
      <name val="Lucida Sans"/>
      <family val="2"/>
    </font>
    <font>
      <sz val="16"/>
      <color rgb="FF000000"/>
      <name val="Lucida Sans"/>
      <family val="2"/>
    </font>
    <font>
      <b/>
      <sz val="10"/>
      <name val="Arial Narrow"/>
      <family val="2"/>
    </font>
    <font>
      <sz val="10"/>
      <name val="Arial Narrow"/>
      <family val="2"/>
    </font>
    <font>
      <sz val="8"/>
      <name val="Arial Narrow"/>
      <family val="2"/>
    </font>
    <font>
      <sz val="10"/>
      <name val="Arial"/>
      <family val="2"/>
    </font>
    <font>
      <vertAlign val="superscript"/>
      <sz val="8"/>
      <name val="Arial Narrow"/>
      <family val="2"/>
    </font>
    <font>
      <sz val="14"/>
      <color theme="1"/>
      <name val="Courier New"/>
      <family val="3"/>
    </font>
    <font>
      <sz val="12"/>
      <color theme="1"/>
      <name val="Courier New"/>
      <family val="3"/>
    </font>
    <font>
      <b/>
      <sz val="14"/>
      <color theme="1"/>
      <name val="Courier New"/>
      <family val="3"/>
    </font>
    <font>
      <u/>
      <sz val="16"/>
      <color theme="10"/>
      <name val="Lucid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164" fontId="7" fillId="0" borderId="0" xfId="0" applyNumberFormat="1" applyFont="1" applyAlignment="1">
      <alignment horizontal="centerContinuous" vertical="center"/>
    </xf>
    <xf numFmtId="0" fontId="7" fillId="0" borderId="0" xfId="0" applyFont="1" applyAlignment="1">
      <alignment horizontal="left" vertical="center" wrapText="1"/>
    </xf>
    <xf numFmtId="166" fontId="7" fillId="0" borderId="0" xfId="1" applyNumberFormat="1" applyFont="1" applyBorder="1" applyAlignment="1">
      <alignment horizontal="right" vertical="center"/>
    </xf>
    <xf numFmtId="0" fontId="7" fillId="0" borderId="0" xfId="0" applyFont="1" applyAlignment="1">
      <alignment horizontal="left" vertical="center"/>
    </xf>
    <xf numFmtId="49" fontId="7" fillId="0" borderId="0" xfId="2" applyNumberFormat="1" applyFont="1" applyFill="1" applyBorder="1" applyAlignment="1" applyProtection="1">
      <alignment horizontal="left" vertical="center"/>
    </xf>
    <xf numFmtId="4" fontId="7" fillId="0" borderId="0" xfId="0" applyNumberFormat="1" applyFont="1" applyAlignment="1">
      <alignment horizontal="right" vertical="center" wrapText="1"/>
    </xf>
    <xf numFmtId="14" fontId="0" fillId="0" borderId="0" xfId="0" applyNumberFormat="1"/>
    <xf numFmtId="4" fontId="0" fillId="0" borderId="0" xfId="0" applyNumberFormat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1" fillId="2" borderId="8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1" fillId="5" borderId="11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1" fillId="5" borderId="5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7" borderId="0" xfId="0" applyFont="1" applyFill="1" applyAlignment="1">
      <alignment vertical="center"/>
    </xf>
    <xf numFmtId="0" fontId="1" fillId="7" borderId="13" xfId="0" applyFont="1" applyFill="1" applyBorder="1" applyAlignment="1">
      <alignment vertical="center"/>
    </xf>
    <xf numFmtId="0" fontId="1" fillId="7" borderId="0" xfId="0" applyFont="1" applyFill="1" applyBorder="1" applyAlignment="1">
      <alignment vertical="center"/>
    </xf>
    <xf numFmtId="0" fontId="1" fillId="7" borderId="14" xfId="0" applyFont="1" applyFill="1" applyBorder="1" applyAlignment="1">
      <alignment vertical="center"/>
    </xf>
    <xf numFmtId="0" fontId="1" fillId="6" borderId="10" xfId="0" applyFont="1" applyFill="1" applyBorder="1" applyAlignment="1">
      <alignment vertical="center"/>
    </xf>
    <xf numFmtId="0" fontId="1" fillId="6" borderId="11" xfId="0" applyFont="1" applyFill="1" applyBorder="1" applyAlignment="1">
      <alignment vertical="center"/>
    </xf>
    <xf numFmtId="0" fontId="1" fillId="6" borderId="12" xfId="0" applyFont="1" applyFill="1" applyBorder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0" fontId="1" fillId="0" borderId="0" xfId="0" quotePrefix="1" applyFont="1" applyAlignment="1">
      <alignment horizontal="center" vertical="center"/>
    </xf>
    <xf numFmtId="0" fontId="13" fillId="0" borderId="0" xfId="3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4">
    <cellStyle name="Hipervínculo" xfId="3" builtinId="8"/>
    <cellStyle name="Millares [0]_ForCua_Estadistica" xfId="2" xr:uid="{69FBA70F-AA2F-4E6E-B808-945604CE03EC}"/>
    <cellStyle name="Millares_17-CredtDSSituacion" xfId="1" xr:uid="{A66E8CED-2181-4622-8C73-CAD153D9FDE0}"/>
    <cellStyle name="Normal" xfId="0" builtinId="0"/>
  </cellStyles>
  <dxfs count="0"/>
  <tableStyles count="0" defaultTableStyle="TableStyleMedium2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600" b="0" i="0" u="none" strike="noStrike" baseline="0">
                  <a:solidFill>
                    <a:srgbClr val="000000"/>
                  </a:solidFill>
                  <a:latin typeface="Lucida Sans"/>
                </a:rPr>
                <a:t>SBS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773205</xdr:colOff>
      <xdr:row>2</xdr:row>
      <xdr:rowOff>257736</xdr:rowOff>
    </xdr:from>
    <xdr:to>
      <xdr:col>5</xdr:col>
      <xdr:colOff>717177</xdr:colOff>
      <xdr:row>6</xdr:row>
      <xdr:rowOff>33618</xdr:rowOff>
    </xdr:to>
    <xdr:sp macro="[0]!descarga_archivos_sbs2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41676" y="795618"/>
          <a:ext cx="1311089" cy="851647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742950</xdr:colOff>
          <xdr:row>4</xdr:row>
          <xdr:rowOff>0</xdr:rowOff>
        </xdr:from>
        <xdr:to>
          <xdr:col>7</xdr:col>
          <xdr:colOff>1123950</xdr:colOff>
          <xdr:row>7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600" b="0" i="0" u="none" strike="noStrike" baseline="0">
                  <a:solidFill>
                    <a:srgbClr val="000000"/>
                  </a:solidFill>
                  <a:latin typeface="Lucida Sans"/>
                </a:rPr>
                <a:t>carpetas años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986117</xdr:colOff>
      <xdr:row>11</xdr:row>
      <xdr:rowOff>212911</xdr:rowOff>
    </xdr:from>
    <xdr:to>
      <xdr:col>8</xdr:col>
      <xdr:colOff>850078</xdr:colOff>
      <xdr:row>13</xdr:row>
      <xdr:rowOff>46458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0352" y="3171264"/>
          <a:ext cx="8066667" cy="3714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281940</xdr:rowOff>
    </xdr:from>
    <xdr:to>
      <xdr:col>5</xdr:col>
      <xdr:colOff>0</xdr:colOff>
      <xdr:row>1</xdr:row>
      <xdr:rowOff>53340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6598920" y="259080"/>
          <a:ext cx="0" cy="533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ntranet2.sbs.gob.pe/estadistica/financiera/2022/Enero/B-2315-en2022.XL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886BE-7FEC-4575-A294-4D631B2676FC}">
  <sheetPr codeName="Hoja1"/>
  <dimension ref="D15"/>
  <sheetViews>
    <sheetView tabSelected="1" topLeftCell="C1" zoomScaleNormal="100" workbookViewId="0">
      <selection activeCell="E20" sqref="E20"/>
    </sheetView>
  </sheetViews>
  <sheetFormatPr baseColWidth="10" defaultRowHeight="21" x14ac:dyDescent="0.35"/>
  <sheetData>
    <row r="15" spans="4:4" x14ac:dyDescent="0.35">
      <c r="D15" s="44" t="s">
        <v>71</v>
      </c>
    </row>
  </sheetData>
  <hyperlinks>
    <hyperlink ref="D15" r:id="rId1" xr:uid="{45B410C3-4505-43E3-8251-2984DA42CE2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descarga_archivos_sb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descarga_archivos_sbs3">
                <anchor moveWithCells="1" sizeWithCells="1">
                  <from>
                    <xdr:col>6</xdr:col>
                    <xdr:colOff>742950</xdr:colOff>
                    <xdr:row>4</xdr:row>
                    <xdr:rowOff>0</xdr:rowOff>
                  </from>
                  <to>
                    <xdr:col>7</xdr:col>
                    <xdr:colOff>1123950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A669-72A8-4DBD-943A-258AA565AFC8}">
  <sheetPr codeName="Hoja3"/>
  <dimension ref="B1:I13"/>
  <sheetViews>
    <sheetView showGridLines="0" zoomScale="115" zoomScaleNormal="115" workbookViewId="0">
      <selection activeCell="F24" sqref="F24"/>
    </sheetView>
  </sheetViews>
  <sheetFormatPr baseColWidth="10" defaultColWidth="10.84375" defaultRowHeight="21" x14ac:dyDescent="0.35"/>
  <cols>
    <col min="1" max="1" width="3.61328125" style="1" customWidth="1"/>
    <col min="2" max="3" width="10.84375" style="1"/>
    <col min="4" max="4" width="3.61328125" style="1" customWidth="1"/>
    <col min="5" max="6" width="6.69140625" style="1" customWidth="1"/>
    <col min="7" max="7" width="13.921875" style="1" customWidth="1"/>
    <col min="8" max="9" width="4.15234375" style="1" customWidth="1"/>
    <col min="10" max="16384" width="10.84375" style="1"/>
  </cols>
  <sheetData>
    <row r="1" spans="2:9" x14ac:dyDescent="0.35">
      <c r="E1" s="3" t="s">
        <v>0</v>
      </c>
      <c r="F1" s="5"/>
    </row>
    <row r="2" spans="2:9" x14ac:dyDescent="0.35">
      <c r="B2" s="45" t="s">
        <v>39</v>
      </c>
      <c r="C2" s="4" t="s">
        <v>15</v>
      </c>
      <c r="E2" s="4">
        <v>1</v>
      </c>
      <c r="F2" s="2"/>
      <c r="G2" s="1" t="str">
        <f>+"meses_sbs(" &amp; E2-1 &amp; ")"</f>
        <v>meses_sbs(0)</v>
      </c>
      <c r="H2" s="43" t="s">
        <v>70</v>
      </c>
      <c r="I2" s="2" t="str">
        <f t="shared" ref="I2:I13" si="0">+C2</f>
        <v>en</v>
      </c>
    </row>
    <row r="3" spans="2:9" x14ac:dyDescent="0.35">
      <c r="B3" s="46"/>
      <c r="C3" s="4" t="s">
        <v>16</v>
      </c>
      <c r="E3" s="4">
        <f>+E2+1</f>
        <v>2</v>
      </c>
      <c r="F3" s="2"/>
      <c r="G3" s="1" t="str">
        <f>+"meses_sbs(" &amp; E3-1 &amp; ")"</f>
        <v>meses_sbs(1)</v>
      </c>
      <c r="H3" s="43" t="s">
        <v>70</v>
      </c>
      <c r="I3" s="2" t="str">
        <f t="shared" si="0"/>
        <v>fe</v>
      </c>
    </row>
    <row r="4" spans="2:9" x14ac:dyDescent="0.35">
      <c r="B4" s="46"/>
      <c r="C4" s="4" t="s">
        <v>17</v>
      </c>
      <c r="E4" s="4">
        <f t="shared" ref="E4:E13" si="1">+E3+1</f>
        <v>3</v>
      </c>
      <c r="F4" s="2"/>
      <c r="G4" s="1" t="str">
        <f>+"meses_sbs(" &amp; E4-1 &amp; ")"</f>
        <v>meses_sbs(2)</v>
      </c>
      <c r="H4" s="43" t="s">
        <v>70</v>
      </c>
      <c r="I4" s="2" t="str">
        <f t="shared" si="0"/>
        <v>ma</v>
      </c>
    </row>
    <row r="5" spans="2:9" x14ac:dyDescent="0.35">
      <c r="B5" s="46"/>
      <c r="C5" s="4" t="s">
        <v>18</v>
      </c>
      <c r="E5" s="4">
        <f t="shared" si="1"/>
        <v>4</v>
      </c>
      <c r="F5" s="2"/>
      <c r="G5" s="1" t="str">
        <f t="shared" ref="G5:G13" si="2">+"meses_sbs(" &amp; E5-1 &amp; ")"</f>
        <v>meses_sbs(3)</v>
      </c>
      <c r="H5" s="43" t="s">
        <v>70</v>
      </c>
      <c r="I5" s="2" t="str">
        <f t="shared" si="0"/>
        <v>ab</v>
      </c>
    </row>
    <row r="6" spans="2:9" x14ac:dyDescent="0.35">
      <c r="B6" s="46"/>
      <c r="C6" s="4" t="s">
        <v>19</v>
      </c>
      <c r="E6" s="4">
        <f t="shared" si="1"/>
        <v>5</v>
      </c>
      <c r="F6" s="2"/>
      <c r="G6" s="1" t="str">
        <f t="shared" si="2"/>
        <v>meses_sbs(4)</v>
      </c>
      <c r="H6" s="43" t="s">
        <v>70</v>
      </c>
      <c r="I6" s="2" t="str">
        <f t="shared" si="0"/>
        <v>my</v>
      </c>
    </row>
    <row r="7" spans="2:9" x14ac:dyDescent="0.35">
      <c r="B7" s="46"/>
      <c r="C7" s="4" t="s">
        <v>20</v>
      </c>
      <c r="E7" s="4">
        <f t="shared" si="1"/>
        <v>6</v>
      </c>
      <c r="F7" s="2"/>
      <c r="G7" s="1" t="str">
        <f t="shared" si="2"/>
        <v>meses_sbs(5)</v>
      </c>
      <c r="H7" s="43" t="s">
        <v>70</v>
      </c>
      <c r="I7" s="2" t="str">
        <f t="shared" si="0"/>
        <v>jn</v>
      </c>
    </row>
    <row r="8" spans="2:9" x14ac:dyDescent="0.35">
      <c r="B8" s="46"/>
      <c r="C8" s="4" t="s">
        <v>21</v>
      </c>
      <c r="E8" s="4">
        <f t="shared" si="1"/>
        <v>7</v>
      </c>
      <c r="F8" s="2"/>
      <c r="G8" s="1" t="str">
        <f t="shared" si="2"/>
        <v>meses_sbs(6)</v>
      </c>
      <c r="H8" s="43" t="s">
        <v>70</v>
      </c>
      <c r="I8" s="2" t="str">
        <f t="shared" si="0"/>
        <v>jl</v>
      </c>
    </row>
    <row r="9" spans="2:9" x14ac:dyDescent="0.35">
      <c r="B9" s="46"/>
      <c r="C9" s="4" t="s">
        <v>22</v>
      </c>
      <c r="E9" s="4">
        <f t="shared" si="1"/>
        <v>8</v>
      </c>
      <c r="F9" s="2"/>
      <c r="G9" s="1" t="str">
        <f t="shared" si="2"/>
        <v>meses_sbs(7)</v>
      </c>
      <c r="H9" s="43" t="s">
        <v>70</v>
      </c>
      <c r="I9" s="2" t="str">
        <f t="shared" si="0"/>
        <v>ag</v>
      </c>
    </row>
    <row r="10" spans="2:9" x14ac:dyDescent="0.35">
      <c r="B10" s="46"/>
      <c r="C10" s="4" t="s">
        <v>23</v>
      </c>
      <c r="E10" s="4">
        <f t="shared" si="1"/>
        <v>9</v>
      </c>
      <c r="F10" s="2"/>
      <c r="G10" s="1" t="str">
        <f t="shared" si="2"/>
        <v>meses_sbs(8)</v>
      </c>
      <c r="H10" s="43" t="s">
        <v>70</v>
      </c>
      <c r="I10" s="2" t="str">
        <f t="shared" si="0"/>
        <v>se</v>
      </c>
    </row>
    <row r="11" spans="2:9" x14ac:dyDescent="0.35">
      <c r="B11" s="46"/>
      <c r="C11" s="4" t="s">
        <v>24</v>
      </c>
      <c r="E11" s="4">
        <f t="shared" si="1"/>
        <v>10</v>
      </c>
      <c r="F11" s="2"/>
      <c r="G11" s="1" t="str">
        <f t="shared" si="2"/>
        <v>meses_sbs(9)</v>
      </c>
      <c r="H11" s="43" t="s">
        <v>70</v>
      </c>
      <c r="I11" s="2" t="str">
        <f t="shared" si="0"/>
        <v>oc</v>
      </c>
    </row>
    <row r="12" spans="2:9" x14ac:dyDescent="0.35">
      <c r="B12" s="46"/>
      <c r="C12" s="4" t="s">
        <v>25</v>
      </c>
      <c r="E12" s="4">
        <f t="shared" si="1"/>
        <v>11</v>
      </c>
      <c r="F12" s="2"/>
      <c r="G12" s="1" t="str">
        <f t="shared" si="2"/>
        <v>meses_sbs(10)</v>
      </c>
      <c r="H12" s="43" t="s">
        <v>70</v>
      </c>
      <c r="I12" s="2" t="str">
        <f t="shared" si="0"/>
        <v>no</v>
      </c>
    </row>
    <row r="13" spans="2:9" x14ac:dyDescent="0.35">
      <c r="B13" s="47"/>
      <c r="C13" s="4" t="s">
        <v>26</v>
      </c>
      <c r="E13" s="4">
        <f t="shared" si="1"/>
        <v>12</v>
      </c>
      <c r="F13" s="2"/>
      <c r="G13" s="1" t="str">
        <f t="shared" si="2"/>
        <v>meses_sbs(11)</v>
      </c>
      <c r="H13" s="43" t="s">
        <v>70</v>
      </c>
      <c r="I13" s="2" t="str">
        <f t="shared" si="0"/>
        <v>di</v>
      </c>
    </row>
  </sheetData>
  <mergeCells count="1">
    <mergeCell ref="B2:B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DE25C-64CD-4646-8CBF-7E8B2D90446F}">
  <sheetPr codeName="Hoja2"/>
  <dimension ref="B2:N10"/>
  <sheetViews>
    <sheetView showGridLines="0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baseColWidth="10" defaultColWidth="10.84375" defaultRowHeight="18.75" x14ac:dyDescent="0.35"/>
  <cols>
    <col min="1" max="1" width="3.61328125" style="15" customWidth="1"/>
    <col min="2" max="2" width="12.84375" style="15" bestFit="1" customWidth="1"/>
    <col min="3" max="14" width="9.23046875" style="15" customWidth="1"/>
    <col min="15" max="16384" width="10.84375" style="15"/>
  </cols>
  <sheetData>
    <row r="2" spans="2:14" ht="19.5" x14ac:dyDescent="0.35">
      <c r="B2" s="37" t="s">
        <v>0</v>
      </c>
      <c r="C2" s="38">
        <v>1</v>
      </c>
      <c r="D2" s="38">
        <f>+C2+1</f>
        <v>2</v>
      </c>
      <c r="E2" s="38">
        <f t="shared" ref="E2:N2" si="0">+D2+1</f>
        <v>3</v>
      </c>
      <c r="F2" s="38">
        <f t="shared" si="0"/>
        <v>4</v>
      </c>
      <c r="G2" s="38">
        <f t="shared" si="0"/>
        <v>5</v>
      </c>
      <c r="H2" s="38">
        <f t="shared" si="0"/>
        <v>6</v>
      </c>
      <c r="I2" s="38">
        <f t="shared" si="0"/>
        <v>7</v>
      </c>
      <c r="J2" s="38">
        <f t="shared" si="0"/>
        <v>8</v>
      </c>
      <c r="K2" s="38">
        <f t="shared" si="0"/>
        <v>9</v>
      </c>
      <c r="L2" s="38">
        <f t="shared" si="0"/>
        <v>10</v>
      </c>
      <c r="M2" s="38">
        <f t="shared" si="0"/>
        <v>11</v>
      </c>
      <c r="N2" s="38">
        <f t="shared" si="0"/>
        <v>12</v>
      </c>
    </row>
    <row r="3" spans="2:14" ht="19.5" x14ac:dyDescent="0.35">
      <c r="B3" s="37" t="s">
        <v>1</v>
      </c>
      <c r="C3" s="38" t="s">
        <v>2</v>
      </c>
      <c r="D3" s="38" t="s">
        <v>3</v>
      </c>
      <c r="E3" s="38" t="s">
        <v>5</v>
      </c>
      <c r="F3" s="38" t="s">
        <v>6</v>
      </c>
      <c r="G3" s="38" t="s">
        <v>7</v>
      </c>
      <c r="H3" s="38" t="s">
        <v>8</v>
      </c>
      <c r="I3" s="38" t="s">
        <v>9</v>
      </c>
      <c r="J3" s="38" t="s">
        <v>10</v>
      </c>
      <c r="K3" s="38" t="s">
        <v>11</v>
      </c>
      <c r="L3" s="38" t="s">
        <v>12</v>
      </c>
      <c r="M3" s="38" t="s">
        <v>13</v>
      </c>
      <c r="N3" s="38" t="s">
        <v>4</v>
      </c>
    </row>
    <row r="4" spans="2:14" ht="19.5" x14ac:dyDescent="0.35">
      <c r="B4" s="37" t="s">
        <v>14</v>
      </c>
      <c r="C4" s="39" t="s">
        <v>15</v>
      </c>
      <c r="D4" s="39" t="s">
        <v>16</v>
      </c>
      <c r="E4" s="39" t="s">
        <v>17</v>
      </c>
      <c r="F4" s="39" t="s">
        <v>18</v>
      </c>
      <c r="G4" s="39" t="s">
        <v>19</v>
      </c>
      <c r="H4" s="39" t="s">
        <v>20</v>
      </c>
      <c r="I4" s="39" t="s">
        <v>21</v>
      </c>
      <c r="J4" s="39" t="s">
        <v>22</v>
      </c>
      <c r="K4" s="39" t="s">
        <v>23</v>
      </c>
      <c r="L4" s="39" t="s">
        <v>24</v>
      </c>
      <c r="M4" s="39" t="s">
        <v>25</v>
      </c>
      <c r="N4" s="39" t="s">
        <v>26</v>
      </c>
    </row>
    <row r="5" spans="2:14" x14ac:dyDescent="0.35">
      <c r="C5" s="40" t="str">
        <f>+LOWER(MID(C3,1,2))</f>
        <v>en</v>
      </c>
      <c r="D5" s="40" t="str">
        <f t="shared" ref="D5:N5" si="1">+LOWER(MID(D3,1,2))</f>
        <v>fe</v>
      </c>
      <c r="E5" s="40" t="str">
        <f t="shared" si="1"/>
        <v>ma</v>
      </c>
      <c r="F5" s="40" t="str">
        <f t="shared" si="1"/>
        <v>ab</v>
      </c>
      <c r="G5" s="41" t="str">
        <f t="shared" si="1"/>
        <v>ma</v>
      </c>
      <c r="H5" s="41" t="str">
        <f t="shared" si="1"/>
        <v>ju</v>
      </c>
      <c r="I5" s="41" t="str">
        <f t="shared" si="1"/>
        <v>ju</v>
      </c>
      <c r="J5" s="40" t="str">
        <f t="shared" si="1"/>
        <v>ag</v>
      </c>
      <c r="K5" s="40" t="str">
        <f t="shared" si="1"/>
        <v>se</v>
      </c>
      <c r="L5" s="40" t="str">
        <f t="shared" si="1"/>
        <v>oc</v>
      </c>
      <c r="M5" s="40" t="str">
        <f t="shared" si="1"/>
        <v>no</v>
      </c>
      <c r="N5" s="40" t="str">
        <f t="shared" si="1"/>
        <v>di</v>
      </c>
    </row>
    <row r="6" spans="2:14" x14ac:dyDescent="0.35">
      <c r="C6" s="42"/>
    </row>
    <row r="8" spans="2:14" x14ac:dyDescent="0.35">
      <c r="C8" s="15" t="str">
        <f t="shared" ref="C8:N8" si="2">+CONCATENATE("""",C4,"""")</f>
        <v>"en"</v>
      </c>
      <c r="D8" s="15" t="str">
        <f t="shared" si="2"/>
        <v>"fe"</v>
      </c>
      <c r="E8" s="15" t="str">
        <f t="shared" si="2"/>
        <v>"ma"</v>
      </c>
      <c r="F8" s="15" t="str">
        <f t="shared" si="2"/>
        <v>"ab"</v>
      </c>
      <c r="G8" s="15" t="str">
        <f t="shared" si="2"/>
        <v>"my"</v>
      </c>
      <c r="H8" s="15" t="str">
        <f t="shared" si="2"/>
        <v>"jn"</v>
      </c>
      <c r="I8" s="15" t="str">
        <f t="shared" si="2"/>
        <v>"jl"</v>
      </c>
      <c r="J8" s="15" t="str">
        <f t="shared" si="2"/>
        <v>"ag"</v>
      </c>
      <c r="K8" s="15" t="str">
        <f t="shared" si="2"/>
        <v>"se"</v>
      </c>
      <c r="L8" s="15" t="str">
        <f t="shared" si="2"/>
        <v>"oc"</v>
      </c>
      <c r="M8" s="15" t="str">
        <f t="shared" si="2"/>
        <v>"no"</v>
      </c>
      <c r="N8" s="15" t="str">
        <f t="shared" si="2"/>
        <v>"di"</v>
      </c>
    </row>
    <row r="10" spans="2:14" x14ac:dyDescent="0.35">
      <c r="C10" s="15" t="s">
        <v>27</v>
      </c>
      <c r="D10" s="15" t="s">
        <v>28</v>
      </c>
      <c r="E10" s="15" t="s">
        <v>29</v>
      </c>
      <c r="F10" s="15" t="s">
        <v>30</v>
      </c>
      <c r="G10" s="15" t="s">
        <v>31</v>
      </c>
      <c r="H10" s="15" t="s">
        <v>32</v>
      </c>
      <c r="I10" s="15" t="s">
        <v>33</v>
      </c>
      <c r="J10" s="15" t="s">
        <v>34</v>
      </c>
      <c r="K10" s="15" t="s">
        <v>35</v>
      </c>
      <c r="L10" s="15" t="s">
        <v>36</v>
      </c>
      <c r="M10" s="15" t="s">
        <v>37</v>
      </c>
      <c r="N10" s="15" t="s">
        <v>38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A27C0-C4CC-4745-956E-3FDB95F48D41}">
  <sheetPr codeName="Hoja4"/>
  <dimension ref="A1:H34"/>
  <sheetViews>
    <sheetView workbookViewId="0">
      <pane ySplit="2" topLeftCell="A3" activePane="bottomLeft" state="frozen"/>
      <selection activeCell="A5" sqref="A5"/>
      <selection pane="bottomLeft" activeCell="I13" sqref="I13"/>
    </sheetView>
  </sheetViews>
  <sheetFormatPr baseColWidth="10" defaultRowHeight="21" x14ac:dyDescent="0.35"/>
  <cols>
    <col min="1" max="1" width="7.61328125" bestFit="1" customWidth="1"/>
  </cols>
  <sheetData>
    <row r="1" spans="1:8" x14ac:dyDescent="0.35">
      <c r="A1" s="50" t="s">
        <v>40</v>
      </c>
      <c r="B1" s="50" t="s">
        <v>41</v>
      </c>
      <c r="C1" s="50" t="s">
        <v>42</v>
      </c>
      <c r="D1" s="50"/>
      <c r="E1" s="48" t="s">
        <v>43</v>
      </c>
      <c r="F1" s="48" t="s">
        <v>44</v>
      </c>
      <c r="G1" s="48" t="s">
        <v>45</v>
      </c>
      <c r="H1" s="48" t="s">
        <v>46</v>
      </c>
    </row>
    <row r="2" spans="1:8" x14ac:dyDescent="0.35">
      <c r="A2" s="51"/>
      <c r="B2" s="51"/>
      <c r="C2" s="6" t="s">
        <v>47</v>
      </c>
      <c r="D2" s="6" t="s">
        <v>48</v>
      </c>
      <c r="E2" s="49"/>
      <c r="F2" s="49"/>
      <c r="G2" s="49"/>
      <c r="H2" s="49" t="s">
        <v>49</v>
      </c>
    </row>
    <row r="3" spans="1:8" x14ac:dyDescent="0.35">
      <c r="A3" s="7">
        <v>44592</v>
      </c>
      <c r="B3" s="8" t="s">
        <v>50</v>
      </c>
      <c r="C3" s="9">
        <v>33325289.030999999</v>
      </c>
      <c r="D3" s="9">
        <v>34979175.472000003</v>
      </c>
      <c r="E3" s="9">
        <v>0</v>
      </c>
      <c r="F3" s="9">
        <v>2002874.2890000001</v>
      </c>
      <c r="G3" s="9">
        <v>589580.45299999998</v>
      </c>
      <c r="H3" s="9">
        <v>2297969.2850000001</v>
      </c>
    </row>
    <row r="4" spans="1:8" x14ac:dyDescent="0.35">
      <c r="A4" s="7">
        <v>44592</v>
      </c>
      <c r="B4" s="8" t="s">
        <v>51</v>
      </c>
      <c r="C4" s="9">
        <v>953539.049</v>
      </c>
      <c r="D4" s="9">
        <v>716576.25899999996</v>
      </c>
      <c r="E4" s="9">
        <v>0</v>
      </c>
      <c r="F4" s="9">
        <v>48400.942999999999</v>
      </c>
      <c r="G4" s="9">
        <v>34525.703999999998</v>
      </c>
      <c r="H4" s="9">
        <v>38444.904999999999</v>
      </c>
    </row>
    <row r="5" spans="1:8" ht="25.5" x14ac:dyDescent="0.35">
      <c r="A5" s="7">
        <v>44592</v>
      </c>
      <c r="B5" s="8" t="s">
        <v>52</v>
      </c>
      <c r="C5" s="9">
        <v>32245336.045000002</v>
      </c>
      <c r="D5" s="9">
        <v>81454966.408999994</v>
      </c>
      <c r="E5" s="9">
        <v>0</v>
      </c>
      <c r="F5" s="9">
        <v>1680057.07</v>
      </c>
      <c r="G5" s="9">
        <v>2727620.4160000002</v>
      </c>
      <c r="H5" s="9">
        <v>1950633.558</v>
      </c>
    </row>
    <row r="6" spans="1:8" x14ac:dyDescent="0.35">
      <c r="A6" s="7">
        <v>44592</v>
      </c>
      <c r="B6" s="8" t="s">
        <v>53</v>
      </c>
      <c r="C6" s="9">
        <v>2751886.7769999998</v>
      </c>
      <c r="D6" s="9">
        <v>5099241.5109999999</v>
      </c>
      <c r="E6" s="9">
        <v>771.45299999999997</v>
      </c>
      <c r="F6" s="9">
        <v>278319.16100000002</v>
      </c>
      <c r="G6" s="9">
        <v>241666.12100000001</v>
      </c>
      <c r="H6" s="9">
        <v>239573.106</v>
      </c>
    </row>
    <row r="7" spans="1:8" x14ac:dyDescent="0.35">
      <c r="A7" s="7">
        <v>44592</v>
      </c>
      <c r="B7" s="8" t="s">
        <v>54</v>
      </c>
      <c r="C7" s="9">
        <v>7013025.6509999996</v>
      </c>
      <c r="D7" s="9">
        <v>5440960.0520000001</v>
      </c>
      <c r="E7" s="9">
        <v>0</v>
      </c>
      <c r="F7" s="9">
        <v>233946.97899999999</v>
      </c>
      <c r="G7" s="9">
        <v>150540.995</v>
      </c>
      <c r="H7" s="9">
        <v>277830.55900000001</v>
      </c>
    </row>
    <row r="8" spans="1:8" x14ac:dyDescent="0.35">
      <c r="A8" s="7">
        <v>44592</v>
      </c>
      <c r="B8" s="8" t="s">
        <v>55</v>
      </c>
      <c r="C8" s="9">
        <v>16228671.954</v>
      </c>
      <c r="D8" s="9">
        <v>36987409.697999999</v>
      </c>
      <c r="E8" s="9">
        <v>0</v>
      </c>
      <c r="F8" s="9">
        <v>1525894.922</v>
      </c>
      <c r="G8" s="9">
        <v>969057.49600000004</v>
      </c>
      <c r="H8" s="9">
        <v>1141075.591</v>
      </c>
    </row>
    <row r="9" spans="1:8" x14ac:dyDescent="0.35">
      <c r="A9" s="7">
        <v>44592</v>
      </c>
      <c r="B9" s="8" t="s">
        <v>56</v>
      </c>
      <c r="C9" s="9">
        <v>1495593.0379999999</v>
      </c>
      <c r="D9" s="9">
        <v>228690.93700000001</v>
      </c>
      <c r="E9" s="9">
        <v>0</v>
      </c>
      <c r="F9" s="9">
        <v>0</v>
      </c>
      <c r="G9" s="9">
        <v>0</v>
      </c>
      <c r="H9" s="9">
        <v>0</v>
      </c>
    </row>
    <row r="10" spans="1:8" x14ac:dyDescent="0.35">
      <c r="A10" s="7">
        <v>44592</v>
      </c>
      <c r="B10" s="8" t="s">
        <v>57</v>
      </c>
      <c r="C10" s="9">
        <v>6758169.6299999999</v>
      </c>
      <c r="D10" s="9">
        <v>34171450.122000001</v>
      </c>
      <c r="E10" s="9">
        <v>0</v>
      </c>
      <c r="F10" s="9">
        <v>226780.03700000001</v>
      </c>
      <c r="G10" s="9">
        <v>998921.04</v>
      </c>
      <c r="H10" s="9">
        <v>544044.321</v>
      </c>
    </row>
    <row r="11" spans="1:8" x14ac:dyDescent="0.35">
      <c r="A11" s="7">
        <v>44592</v>
      </c>
      <c r="B11" s="8" t="s">
        <v>58</v>
      </c>
      <c r="C11" s="9">
        <v>1782872.2309999999</v>
      </c>
      <c r="D11" s="9">
        <v>10708637.107999999</v>
      </c>
      <c r="E11" s="9">
        <v>0</v>
      </c>
      <c r="F11" s="9">
        <v>68355.600999999995</v>
      </c>
      <c r="G11" s="9">
        <v>880892.92200000002</v>
      </c>
      <c r="H11" s="9">
        <v>53189.2</v>
      </c>
    </row>
    <row r="12" spans="1:8" x14ac:dyDescent="0.35">
      <c r="A12" s="7">
        <v>44592</v>
      </c>
      <c r="B12" s="8" t="s">
        <v>59</v>
      </c>
      <c r="C12" s="9">
        <v>452884.02500000002</v>
      </c>
      <c r="D12" s="9">
        <v>2517825.693</v>
      </c>
      <c r="E12" s="9">
        <v>0</v>
      </c>
      <c r="F12" s="9">
        <v>93912.475000000006</v>
      </c>
      <c r="G12" s="9">
        <v>50361.356</v>
      </c>
      <c r="H12" s="9">
        <v>83840.562000000005</v>
      </c>
    </row>
    <row r="13" spans="1:8" x14ac:dyDescent="0.35">
      <c r="A13" s="7">
        <v>44592</v>
      </c>
      <c r="B13" s="10" t="s">
        <v>60</v>
      </c>
      <c r="C13" s="9">
        <v>1388988.865</v>
      </c>
      <c r="D13" s="9">
        <v>1414458.3689999999</v>
      </c>
      <c r="E13" s="9">
        <v>0</v>
      </c>
      <c r="F13" s="9">
        <v>53002.569000000003</v>
      </c>
      <c r="G13" s="9">
        <v>48594.163999999997</v>
      </c>
      <c r="H13" s="9">
        <v>4325.6480000000001</v>
      </c>
    </row>
    <row r="14" spans="1:8" x14ac:dyDescent="0.35">
      <c r="A14" s="7">
        <v>44592</v>
      </c>
      <c r="B14" s="10" t="s">
        <v>61</v>
      </c>
      <c r="C14" s="9">
        <v>2565613.2140000002</v>
      </c>
      <c r="D14" s="9">
        <v>2935232.6460000002</v>
      </c>
      <c r="E14" s="9">
        <v>0</v>
      </c>
      <c r="F14" s="9">
        <v>24762.304</v>
      </c>
      <c r="G14" s="9">
        <v>41876.305</v>
      </c>
      <c r="H14" s="9">
        <v>16605.696</v>
      </c>
    </row>
    <row r="15" spans="1:8" x14ac:dyDescent="0.35">
      <c r="A15" s="7">
        <v>44592</v>
      </c>
      <c r="B15" s="10" t="s">
        <v>62</v>
      </c>
      <c r="C15" s="9">
        <v>887670.29399999999</v>
      </c>
      <c r="D15" s="9">
        <v>513903.41899999999</v>
      </c>
      <c r="E15" s="9">
        <v>0</v>
      </c>
      <c r="F15" s="9">
        <v>31936.103999999999</v>
      </c>
      <c r="G15" s="9">
        <v>27969.539000000001</v>
      </c>
      <c r="H15" s="9">
        <v>0</v>
      </c>
    </row>
    <row r="16" spans="1:8" x14ac:dyDescent="0.35">
      <c r="A16" s="7">
        <v>44592</v>
      </c>
      <c r="B16" s="11" t="s">
        <v>63</v>
      </c>
      <c r="C16" s="9">
        <v>6522.2640000000001</v>
      </c>
      <c r="D16" s="9">
        <v>317787.78200000001</v>
      </c>
      <c r="E16" s="9">
        <v>0</v>
      </c>
      <c r="F16" s="9">
        <v>69239.467000000004</v>
      </c>
      <c r="G16" s="9">
        <v>13568.752</v>
      </c>
      <c r="H16" s="9">
        <v>1.2130000000000001</v>
      </c>
    </row>
    <row r="17" spans="1:8" x14ac:dyDescent="0.35">
      <c r="A17" s="7">
        <v>44592</v>
      </c>
      <c r="B17" s="10" t="s">
        <v>64</v>
      </c>
      <c r="C17" s="9">
        <v>615308.20299999998</v>
      </c>
      <c r="D17" s="9">
        <v>305214.592</v>
      </c>
      <c r="E17" s="9">
        <v>0</v>
      </c>
      <c r="F17" s="9">
        <v>0</v>
      </c>
      <c r="G17" s="9">
        <v>0</v>
      </c>
      <c r="H17" s="9">
        <v>0</v>
      </c>
    </row>
    <row r="18" spans="1:8" x14ac:dyDescent="0.35">
      <c r="A18" s="7">
        <v>44592</v>
      </c>
      <c r="B18" s="10" t="s">
        <v>65</v>
      </c>
      <c r="C18" s="9">
        <v>39215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</row>
    <row r="19" spans="1:8" x14ac:dyDescent="0.35">
      <c r="A19" s="7">
        <v>44620</v>
      </c>
      <c r="B19" s="8" t="s">
        <v>50</v>
      </c>
      <c r="C19" s="9">
        <v>33333181.726</v>
      </c>
      <c r="D19" s="9">
        <v>34537460.328000002</v>
      </c>
      <c r="E19" s="9">
        <v>0</v>
      </c>
      <c r="F19" s="9">
        <v>1948439.297</v>
      </c>
      <c r="G19" s="9">
        <v>561085.63899999997</v>
      </c>
      <c r="H19" s="9">
        <v>2345941.9160000002</v>
      </c>
    </row>
    <row r="20" spans="1:8" x14ac:dyDescent="0.35">
      <c r="A20" s="7">
        <v>44620</v>
      </c>
      <c r="B20" s="8" t="s">
        <v>51</v>
      </c>
      <c r="C20" s="9">
        <v>954614.679</v>
      </c>
      <c r="D20" s="9">
        <v>710889.21600000001</v>
      </c>
      <c r="E20" s="9">
        <v>0</v>
      </c>
      <c r="F20" s="9">
        <v>48373.851000000002</v>
      </c>
      <c r="G20" s="9">
        <v>35214.069000000003</v>
      </c>
      <c r="H20" s="9">
        <v>38288.584999999999</v>
      </c>
    </row>
    <row r="21" spans="1:8" ht="25.5" x14ac:dyDescent="0.35">
      <c r="A21" s="7">
        <v>44620</v>
      </c>
      <c r="B21" s="8" t="s">
        <v>52</v>
      </c>
      <c r="C21" s="9">
        <v>31724167.443999998</v>
      </c>
      <c r="D21" s="9">
        <v>80610275.084000006</v>
      </c>
      <c r="E21" s="9">
        <v>0</v>
      </c>
      <c r="F21" s="9">
        <v>1678472.0619999999</v>
      </c>
      <c r="G21" s="9">
        <v>2666520.602</v>
      </c>
      <c r="H21" s="9">
        <v>1963869.4850000001</v>
      </c>
    </row>
    <row r="22" spans="1:8" x14ac:dyDescent="0.35">
      <c r="A22" s="7">
        <v>44620</v>
      </c>
      <c r="B22" s="8" t="s">
        <v>53</v>
      </c>
      <c r="C22" s="9">
        <v>2851180.0359999998</v>
      </c>
      <c r="D22" s="9">
        <v>5086882.8669999996</v>
      </c>
      <c r="E22" s="9">
        <v>753.98800000000006</v>
      </c>
      <c r="F22" s="9">
        <v>264152.18199999997</v>
      </c>
      <c r="G22" s="9">
        <v>238013.04500000001</v>
      </c>
      <c r="H22" s="9">
        <v>248236.64600000001</v>
      </c>
    </row>
    <row r="23" spans="1:8" x14ac:dyDescent="0.35">
      <c r="A23" s="7">
        <v>44620</v>
      </c>
      <c r="B23" s="8" t="s">
        <v>54</v>
      </c>
      <c r="C23" s="9">
        <v>6985086.767</v>
      </c>
      <c r="D23" s="9">
        <v>5432908.2439999999</v>
      </c>
      <c r="E23" s="9">
        <v>0</v>
      </c>
      <c r="F23" s="9">
        <v>211263.43700000001</v>
      </c>
      <c r="G23" s="9">
        <v>183698.361</v>
      </c>
      <c r="H23" s="9">
        <v>274702.978</v>
      </c>
    </row>
    <row r="24" spans="1:8" x14ac:dyDescent="0.35">
      <c r="A24" s="7">
        <v>44620</v>
      </c>
      <c r="B24" s="8" t="s">
        <v>55</v>
      </c>
      <c r="C24" s="9">
        <v>17192530.699999999</v>
      </c>
      <c r="D24" s="9">
        <v>37087633.945</v>
      </c>
      <c r="E24" s="9">
        <v>0</v>
      </c>
      <c r="F24" s="9">
        <v>1570183.7109999999</v>
      </c>
      <c r="G24" s="9">
        <v>921270.23699999996</v>
      </c>
      <c r="H24" s="9">
        <v>1131550.1240000001</v>
      </c>
    </row>
    <row r="25" spans="1:8" x14ac:dyDescent="0.35">
      <c r="A25" s="7">
        <v>44620</v>
      </c>
      <c r="B25" s="8" t="s">
        <v>56</v>
      </c>
      <c r="C25" s="9">
        <v>1672946.906</v>
      </c>
      <c r="D25" s="9">
        <v>248162.07</v>
      </c>
      <c r="E25" s="9">
        <v>0</v>
      </c>
      <c r="F25" s="9">
        <v>0</v>
      </c>
      <c r="G25" s="9">
        <v>0</v>
      </c>
      <c r="H25" s="9">
        <v>0</v>
      </c>
    </row>
    <row r="26" spans="1:8" x14ac:dyDescent="0.35">
      <c r="A26" s="7">
        <v>44620</v>
      </c>
      <c r="B26" s="8" t="s">
        <v>57</v>
      </c>
      <c r="C26" s="9">
        <v>6715209.2010000004</v>
      </c>
      <c r="D26" s="9">
        <v>34453717.741999999</v>
      </c>
      <c r="E26" s="9">
        <v>0</v>
      </c>
      <c r="F26" s="9">
        <v>227068.356</v>
      </c>
      <c r="G26" s="9">
        <v>892551.89300000004</v>
      </c>
      <c r="H26" s="9">
        <v>525291.00699999998</v>
      </c>
    </row>
    <row r="27" spans="1:8" x14ac:dyDescent="0.35">
      <c r="A27" s="7">
        <v>44620</v>
      </c>
      <c r="B27" s="8" t="s">
        <v>58</v>
      </c>
      <c r="C27" s="9">
        <v>1860227.584</v>
      </c>
      <c r="D27" s="9">
        <v>10835842.251</v>
      </c>
      <c r="E27" s="9">
        <v>0</v>
      </c>
      <c r="F27" s="9">
        <v>68520.595000000001</v>
      </c>
      <c r="G27" s="9">
        <v>867160.245</v>
      </c>
      <c r="H27" s="9">
        <v>51506.794999999998</v>
      </c>
    </row>
    <row r="28" spans="1:8" x14ac:dyDescent="0.35">
      <c r="A28" s="7">
        <v>44620</v>
      </c>
      <c r="B28" s="8" t="s">
        <v>59</v>
      </c>
      <c r="C28" s="9">
        <v>441173.24</v>
      </c>
      <c r="D28" s="9">
        <v>2539303.5320000001</v>
      </c>
      <c r="E28" s="9">
        <v>0</v>
      </c>
      <c r="F28" s="9">
        <v>91287.646999999997</v>
      </c>
      <c r="G28" s="9">
        <v>51394.571000000004</v>
      </c>
      <c r="H28" s="9">
        <v>83854.080000000002</v>
      </c>
    </row>
    <row r="29" spans="1:8" x14ac:dyDescent="0.35">
      <c r="A29" s="7">
        <v>44620</v>
      </c>
      <c r="B29" s="10" t="s">
        <v>60</v>
      </c>
      <c r="C29" s="9">
        <v>1421251.6850000001</v>
      </c>
      <c r="D29" s="9">
        <v>1485012.4350000001</v>
      </c>
      <c r="E29" s="9">
        <v>0</v>
      </c>
      <c r="F29" s="9">
        <v>49814.343999999997</v>
      </c>
      <c r="G29" s="9">
        <v>52151.881000000001</v>
      </c>
      <c r="H29" s="9">
        <v>4283.2860000000001</v>
      </c>
    </row>
    <row r="30" spans="1:8" x14ac:dyDescent="0.35">
      <c r="A30" s="7">
        <v>44620</v>
      </c>
      <c r="B30" s="10" t="s">
        <v>61</v>
      </c>
      <c r="C30" s="9">
        <v>2431259.8659999999</v>
      </c>
      <c r="D30" s="9">
        <v>2931060.7579999999</v>
      </c>
      <c r="E30" s="9">
        <v>0</v>
      </c>
      <c r="F30" s="9">
        <v>22798.97</v>
      </c>
      <c r="G30" s="9">
        <v>38312.161</v>
      </c>
      <c r="H30" s="9">
        <v>16336.482</v>
      </c>
    </row>
    <row r="31" spans="1:8" x14ac:dyDescent="0.35">
      <c r="A31" s="7">
        <v>44620</v>
      </c>
      <c r="B31" s="10" t="s">
        <v>62</v>
      </c>
      <c r="C31" s="9">
        <v>901109.32499999995</v>
      </c>
      <c r="D31" s="9">
        <v>532338.82200000004</v>
      </c>
      <c r="E31" s="9">
        <v>0</v>
      </c>
      <c r="F31" s="9">
        <v>29031.768</v>
      </c>
      <c r="G31" s="9">
        <v>29753.103999999999</v>
      </c>
      <c r="H31" s="9">
        <v>0</v>
      </c>
    </row>
    <row r="32" spans="1:8" x14ac:dyDescent="0.35">
      <c r="A32" s="7">
        <v>44620</v>
      </c>
      <c r="B32" s="11" t="s">
        <v>63</v>
      </c>
      <c r="C32" s="9">
        <v>6114.28</v>
      </c>
      <c r="D32" s="9">
        <v>341917.93599999999</v>
      </c>
      <c r="E32" s="9">
        <v>0</v>
      </c>
      <c r="F32" s="9">
        <v>27161.514999999999</v>
      </c>
      <c r="G32" s="9">
        <v>23352.328000000001</v>
      </c>
      <c r="H32" s="9">
        <v>1.103</v>
      </c>
    </row>
    <row r="33" spans="1:8" x14ac:dyDescent="0.35">
      <c r="A33" s="7">
        <v>44620</v>
      </c>
      <c r="B33" s="10" t="s">
        <v>64</v>
      </c>
      <c r="C33" s="9">
        <v>538111.92299999995</v>
      </c>
      <c r="D33" s="9">
        <v>325563.05599999998</v>
      </c>
      <c r="E33" s="9">
        <v>0</v>
      </c>
      <c r="F33" s="9">
        <v>0</v>
      </c>
      <c r="G33" s="9">
        <v>0</v>
      </c>
      <c r="H33" s="9">
        <v>0</v>
      </c>
    </row>
    <row r="34" spans="1:8" x14ac:dyDescent="0.35">
      <c r="A34" s="7">
        <v>44620</v>
      </c>
      <c r="B34" s="10" t="s">
        <v>65</v>
      </c>
      <c r="C34" s="9">
        <v>58780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</row>
  </sheetData>
  <mergeCells count="7">
    <mergeCell ref="H1:H2"/>
    <mergeCell ref="A1:A2"/>
    <mergeCell ref="B1:B2"/>
    <mergeCell ref="C1:D1"/>
    <mergeCell ref="E1:E2"/>
    <mergeCell ref="F1:F2"/>
    <mergeCell ref="G1:G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960FA-72A5-4E85-A6CB-D057FDAF092C}">
  <sheetPr codeName="Hoja5"/>
  <dimension ref="A1:D34"/>
  <sheetViews>
    <sheetView zoomScale="115" zoomScaleNormal="115" workbookViewId="0">
      <pane ySplit="2" topLeftCell="A3" activePane="bottomLeft" state="frozen"/>
      <selection activeCell="A5" sqref="A5"/>
      <selection pane="bottomLeft" sqref="A1:A2"/>
    </sheetView>
  </sheetViews>
  <sheetFormatPr baseColWidth="10" defaultRowHeight="21" x14ac:dyDescent="0.35"/>
  <sheetData>
    <row r="1" spans="1:4" x14ac:dyDescent="0.35">
      <c r="A1" s="50" t="s">
        <v>40</v>
      </c>
      <c r="B1" s="50" t="s">
        <v>41</v>
      </c>
      <c r="C1" s="50" t="s">
        <v>66</v>
      </c>
      <c r="D1" s="50" t="s">
        <v>67</v>
      </c>
    </row>
    <row r="2" spans="1:4" x14ac:dyDescent="0.35">
      <c r="A2" s="51"/>
      <c r="B2" s="51"/>
      <c r="C2" s="51"/>
      <c r="D2" s="51"/>
    </row>
    <row r="3" spans="1:4" x14ac:dyDescent="0.35">
      <c r="A3" s="7">
        <v>44592</v>
      </c>
      <c r="B3" s="8" t="s">
        <v>50</v>
      </c>
      <c r="C3" s="8" t="s">
        <v>68</v>
      </c>
      <c r="D3" s="12">
        <f>+'Consolidado 1'!C3+'Consolidado 1'!D3</f>
        <v>68304464.503000006</v>
      </c>
    </row>
    <row r="4" spans="1:4" x14ac:dyDescent="0.35">
      <c r="A4" s="7">
        <v>44592</v>
      </c>
      <c r="B4" s="8" t="s">
        <v>51</v>
      </c>
      <c r="C4" s="8" t="s">
        <v>68</v>
      </c>
      <c r="D4" s="12">
        <f>+'Consolidado 1'!C4+'Consolidado 1'!D4</f>
        <v>1670115.308</v>
      </c>
    </row>
    <row r="5" spans="1:4" ht="25.5" x14ac:dyDescent="0.35">
      <c r="A5" s="7">
        <v>44592</v>
      </c>
      <c r="B5" s="8" t="s">
        <v>52</v>
      </c>
      <c r="C5" s="8" t="s">
        <v>68</v>
      </c>
      <c r="D5" s="12">
        <f>+'Consolidado 1'!C5+'Consolidado 1'!D5</f>
        <v>113700302.454</v>
      </c>
    </row>
    <row r="6" spans="1:4" x14ac:dyDescent="0.35">
      <c r="A6" s="7">
        <v>44592</v>
      </c>
      <c r="B6" s="8" t="s">
        <v>53</v>
      </c>
      <c r="C6" s="8" t="s">
        <v>68</v>
      </c>
      <c r="D6" s="12">
        <f>+'Consolidado 1'!C6+'Consolidado 1'!D6</f>
        <v>7851128.2879999997</v>
      </c>
    </row>
    <row r="7" spans="1:4" x14ac:dyDescent="0.35">
      <c r="A7" s="7">
        <v>44592</v>
      </c>
      <c r="B7" s="8" t="s">
        <v>54</v>
      </c>
      <c r="C7" s="8" t="s">
        <v>68</v>
      </c>
      <c r="D7" s="12">
        <f>+'Consolidado 1'!C7+'Consolidado 1'!D7</f>
        <v>12453985.703</v>
      </c>
    </row>
    <row r="8" spans="1:4" x14ac:dyDescent="0.35">
      <c r="A8" s="7">
        <v>44592</v>
      </c>
      <c r="B8" s="8" t="s">
        <v>55</v>
      </c>
      <c r="C8" s="8" t="s">
        <v>68</v>
      </c>
      <c r="D8" s="12">
        <f>+'Consolidado 1'!C8+'Consolidado 1'!D8</f>
        <v>53216081.651999995</v>
      </c>
    </row>
    <row r="9" spans="1:4" x14ac:dyDescent="0.35">
      <c r="A9" s="7">
        <v>44592</v>
      </c>
      <c r="B9" s="8" t="s">
        <v>56</v>
      </c>
      <c r="C9" s="8" t="s">
        <v>68</v>
      </c>
      <c r="D9" s="12">
        <f>+'Consolidado 1'!C9+'Consolidado 1'!D9</f>
        <v>1724283.9749999999</v>
      </c>
    </row>
    <row r="10" spans="1:4" x14ac:dyDescent="0.35">
      <c r="A10" s="7">
        <v>44592</v>
      </c>
      <c r="B10" s="8" t="s">
        <v>57</v>
      </c>
      <c r="C10" s="8" t="s">
        <v>68</v>
      </c>
      <c r="D10" s="12">
        <f>+'Consolidado 1'!C10+'Consolidado 1'!D10</f>
        <v>40929619.752000004</v>
      </c>
    </row>
    <row r="11" spans="1:4" x14ac:dyDescent="0.35">
      <c r="A11" s="7">
        <v>44592</v>
      </c>
      <c r="B11" s="8" t="s">
        <v>58</v>
      </c>
      <c r="C11" s="8" t="s">
        <v>68</v>
      </c>
      <c r="D11" s="12">
        <f>+'Consolidado 1'!C11+'Consolidado 1'!D11</f>
        <v>12491509.339</v>
      </c>
    </row>
    <row r="12" spans="1:4" x14ac:dyDescent="0.35">
      <c r="A12" s="7">
        <v>44592</v>
      </c>
      <c r="B12" s="8" t="s">
        <v>59</v>
      </c>
      <c r="C12" s="8" t="s">
        <v>68</v>
      </c>
      <c r="D12" s="12">
        <f>+'Consolidado 1'!C12+'Consolidado 1'!D12</f>
        <v>2970709.7179999999</v>
      </c>
    </row>
    <row r="13" spans="1:4" x14ac:dyDescent="0.35">
      <c r="A13" s="7">
        <v>44592</v>
      </c>
      <c r="B13" s="10" t="s">
        <v>60</v>
      </c>
      <c r="C13" s="8" t="s">
        <v>68</v>
      </c>
      <c r="D13" s="12">
        <f>+'Consolidado 1'!C13+'Consolidado 1'!D13</f>
        <v>2803447.2340000002</v>
      </c>
    </row>
    <row r="14" spans="1:4" x14ac:dyDescent="0.35">
      <c r="A14" s="7">
        <v>44592</v>
      </c>
      <c r="B14" s="10" t="s">
        <v>61</v>
      </c>
      <c r="C14" s="8" t="s">
        <v>68</v>
      </c>
      <c r="D14" s="12">
        <f>+'Consolidado 1'!C14+'Consolidado 1'!D14</f>
        <v>5500845.8600000003</v>
      </c>
    </row>
    <row r="15" spans="1:4" x14ac:dyDescent="0.35">
      <c r="A15" s="7">
        <v>44592</v>
      </c>
      <c r="B15" s="10" t="s">
        <v>62</v>
      </c>
      <c r="C15" s="8" t="s">
        <v>68</v>
      </c>
      <c r="D15" s="12">
        <f>+'Consolidado 1'!C15+'Consolidado 1'!D15</f>
        <v>1401573.713</v>
      </c>
    </row>
    <row r="16" spans="1:4" x14ac:dyDescent="0.35">
      <c r="A16" s="7">
        <v>44592</v>
      </c>
      <c r="B16" s="11" t="s">
        <v>63</v>
      </c>
      <c r="C16" s="8" t="s">
        <v>68</v>
      </c>
      <c r="D16" s="12">
        <f>+'Consolidado 1'!C16+'Consolidado 1'!D16</f>
        <v>324310.04600000003</v>
      </c>
    </row>
    <row r="17" spans="1:4" x14ac:dyDescent="0.35">
      <c r="A17" s="7">
        <v>44592</v>
      </c>
      <c r="B17" s="10" t="s">
        <v>64</v>
      </c>
      <c r="C17" s="8" t="s">
        <v>68</v>
      </c>
      <c r="D17" s="12">
        <f>+'Consolidado 1'!C17+'Consolidado 1'!D17</f>
        <v>920522.79499999993</v>
      </c>
    </row>
    <row r="18" spans="1:4" x14ac:dyDescent="0.35">
      <c r="A18" s="7">
        <v>44592</v>
      </c>
      <c r="B18" s="10" t="s">
        <v>65</v>
      </c>
      <c r="C18" s="8" t="s">
        <v>68</v>
      </c>
      <c r="D18" s="12">
        <f>+'Consolidado 1'!C18+'Consolidado 1'!D18</f>
        <v>39215</v>
      </c>
    </row>
    <row r="19" spans="1:4" x14ac:dyDescent="0.35">
      <c r="A19" s="7">
        <v>44592</v>
      </c>
      <c r="B19" s="8" t="s">
        <v>50</v>
      </c>
      <c r="C19" s="8" t="s">
        <v>43</v>
      </c>
      <c r="D19" s="12">
        <v>0</v>
      </c>
    </row>
    <row r="20" spans="1:4" x14ac:dyDescent="0.35">
      <c r="A20" s="7">
        <v>44592</v>
      </c>
      <c r="B20" s="8" t="s">
        <v>51</v>
      </c>
      <c r="C20" s="8" t="s">
        <v>43</v>
      </c>
      <c r="D20" s="12">
        <v>0</v>
      </c>
    </row>
    <row r="21" spans="1:4" ht="25.5" x14ac:dyDescent="0.35">
      <c r="A21" s="7">
        <v>44592</v>
      </c>
      <c r="B21" s="8" t="s">
        <v>52</v>
      </c>
      <c r="C21" s="8" t="s">
        <v>43</v>
      </c>
      <c r="D21" s="12">
        <v>0</v>
      </c>
    </row>
    <row r="22" spans="1:4" x14ac:dyDescent="0.35">
      <c r="A22" s="7">
        <v>44592</v>
      </c>
      <c r="B22" s="8" t="s">
        <v>53</v>
      </c>
      <c r="C22" s="8" t="s">
        <v>43</v>
      </c>
      <c r="D22" s="12">
        <v>771.45299999999997</v>
      </c>
    </row>
    <row r="23" spans="1:4" x14ac:dyDescent="0.35">
      <c r="A23" s="7">
        <v>44592</v>
      </c>
      <c r="B23" s="8" t="s">
        <v>54</v>
      </c>
      <c r="C23" s="8" t="s">
        <v>43</v>
      </c>
      <c r="D23" s="12">
        <v>0</v>
      </c>
    </row>
    <row r="24" spans="1:4" x14ac:dyDescent="0.35">
      <c r="A24" s="7">
        <v>44592</v>
      </c>
      <c r="B24" s="8" t="s">
        <v>55</v>
      </c>
      <c r="C24" s="8" t="s">
        <v>43</v>
      </c>
      <c r="D24" s="12">
        <v>0</v>
      </c>
    </row>
    <row r="25" spans="1:4" x14ac:dyDescent="0.35">
      <c r="A25" s="7">
        <v>44592</v>
      </c>
      <c r="B25" s="8" t="s">
        <v>56</v>
      </c>
      <c r="C25" s="8" t="s">
        <v>43</v>
      </c>
      <c r="D25" s="12">
        <v>0</v>
      </c>
    </row>
    <row r="26" spans="1:4" x14ac:dyDescent="0.35">
      <c r="A26" s="7">
        <v>44592</v>
      </c>
      <c r="B26" s="8" t="s">
        <v>57</v>
      </c>
      <c r="C26" s="8" t="s">
        <v>43</v>
      </c>
      <c r="D26" s="12">
        <v>0</v>
      </c>
    </row>
    <row r="27" spans="1:4" x14ac:dyDescent="0.35">
      <c r="A27" s="7">
        <v>44592</v>
      </c>
      <c r="B27" s="8" t="s">
        <v>58</v>
      </c>
      <c r="C27" s="8" t="s">
        <v>43</v>
      </c>
      <c r="D27" s="12">
        <v>0</v>
      </c>
    </row>
    <row r="28" spans="1:4" x14ac:dyDescent="0.35">
      <c r="A28" s="7">
        <v>44592</v>
      </c>
      <c r="B28" s="8" t="s">
        <v>59</v>
      </c>
      <c r="C28" s="8" t="s">
        <v>43</v>
      </c>
      <c r="D28" s="12">
        <v>0</v>
      </c>
    </row>
    <row r="29" spans="1:4" x14ac:dyDescent="0.35">
      <c r="A29" s="7">
        <v>44592</v>
      </c>
      <c r="B29" s="10" t="s">
        <v>60</v>
      </c>
      <c r="C29" s="8" t="s">
        <v>43</v>
      </c>
      <c r="D29" s="12">
        <v>0</v>
      </c>
    </row>
    <row r="30" spans="1:4" x14ac:dyDescent="0.35">
      <c r="A30" s="7">
        <v>44592</v>
      </c>
      <c r="B30" s="10" t="s">
        <v>61</v>
      </c>
      <c r="C30" s="8" t="s">
        <v>43</v>
      </c>
      <c r="D30" s="12">
        <v>0</v>
      </c>
    </row>
    <row r="31" spans="1:4" x14ac:dyDescent="0.35">
      <c r="A31" s="7">
        <v>44592</v>
      </c>
      <c r="B31" s="10" t="s">
        <v>62</v>
      </c>
      <c r="C31" s="8" t="s">
        <v>43</v>
      </c>
      <c r="D31" s="12">
        <v>0</v>
      </c>
    </row>
    <row r="32" spans="1:4" x14ac:dyDescent="0.35">
      <c r="A32" s="7">
        <v>44592</v>
      </c>
      <c r="B32" s="11" t="s">
        <v>63</v>
      </c>
      <c r="C32" s="8" t="s">
        <v>43</v>
      </c>
      <c r="D32" s="12">
        <v>0</v>
      </c>
    </row>
    <row r="33" spans="1:4" x14ac:dyDescent="0.35">
      <c r="A33" s="7">
        <v>44592</v>
      </c>
      <c r="B33" s="10" t="s">
        <v>64</v>
      </c>
      <c r="C33" s="8" t="s">
        <v>43</v>
      </c>
      <c r="D33" s="12">
        <v>0</v>
      </c>
    </row>
    <row r="34" spans="1:4" x14ac:dyDescent="0.35">
      <c r="A34" s="7">
        <v>44592</v>
      </c>
      <c r="B34" s="10" t="s">
        <v>65</v>
      </c>
      <c r="C34" s="8" t="s">
        <v>43</v>
      </c>
      <c r="D34" s="12">
        <v>0</v>
      </c>
    </row>
  </sheetData>
  <autoFilter ref="A1:D34" xr:uid="{417457EB-D456-4EC7-87D4-12ED302797A1}"/>
  <mergeCells count="4">
    <mergeCell ref="A1:A2"/>
    <mergeCell ref="B1:B2"/>
    <mergeCell ref="C1:C2"/>
    <mergeCell ref="D1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F685E-A67E-4067-91D0-EDC9AF1D60E5}">
  <sheetPr codeName="Hoja6"/>
  <dimension ref="A1:E1"/>
  <sheetViews>
    <sheetView zoomScale="130" zoomScaleNormal="130" workbookViewId="0"/>
  </sheetViews>
  <sheetFormatPr baseColWidth="10" defaultRowHeight="21" x14ac:dyDescent="0.35"/>
  <cols>
    <col min="4" max="4" width="16.07421875" customWidth="1"/>
    <col min="5" max="5" width="15.4609375" customWidth="1"/>
  </cols>
  <sheetData>
    <row r="1" spans="1:5" x14ac:dyDescent="0.35">
      <c r="A1" s="13">
        <v>43800</v>
      </c>
      <c r="B1" s="14">
        <f>+A1</f>
        <v>43800</v>
      </c>
      <c r="D1" t="s">
        <v>69</v>
      </c>
      <c r="E1" s="13">
        <v>42735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CCA0D-7CFF-4C4C-8B5E-2A2A6C40EAD3}">
  <sheetPr codeName="Hoja7"/>
  <dimension ref="A1:Y9"/>
  <sheetViews>
    <sheetView showGridLines="0" zoomScale="115" zoomScaleNormal="115" workbookViewId="0"/>
  </sheetViews>
  <sheetFormatPr baseColWidth="10" defaultColWidth="10.84375" defaultRowHeight="21" x14ac:dyDescent="0.35"/>
  <cols>
    <col min="1" max="86" width="3.61328125" style="1" customWidth="1"/>
    <col min="87" max="16384" width="10.84375" style="1"/>
  </cols>
  <sheetData>
    <row r="1" spans="1:25" s="16" customFormat="1" ht="15.75" x14ac:dyDescent="0.35">
      <c r="F1" s="16">
        <v>2015</v>
      </c>
      <c r="L1" s="16">
        <v>2016</v>
      </c>
      <c r="R1" s="16">
        <v>2017</v>
      </c>
    </row>
    <row r="2" spans="1:25" x14ac:dyDescent="0.35">
      <c r="A2" s="17"/>
      <c r="B2" s="17"/>
      <c r="C2" s="17"/>
      <c r="D2" s="17"/>
      <c r="E2" s="17"/>
      <c r="F2" s="17"/>
    </row>
    <row r="3" spans="1:25" ht="21.75" thickBot="1" x14ac:dyDescent="0.4"/>
    <row r="4" spans="1:25" x14ac:dyDescent="0.35">
      <c r="G4" s="27"/>
      <c r="H4" s="28"/>
      <c r="I4" s="28"/>
      <c r="J4" s="28"/>
      <c r="K4" s="28"/>
      <c r="L4" s="29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</row>
    <row r="5" spans="1:25" ht="21.75" thickBot="1" x14ac:dyDescent="0.4">
      <c r="A5" s="18"/>
      <c r="B5" s="18"/>
      <c r="C5" s="18"/>
      <c r="D5" s="18"/>
      <c r="E5" s="18"/>
      <c r="F5" s="18"/>
      <c r="G5" s="24"/>
      <c r="H5" s="25"/>
      <c r="I5" s="25"/>
      <c r="J5" s="25"/>
      <c r="K5" s="25"/>
      <c r="L5" s="26"/>
    </row>
    <row r="6" spans="1:25" ht="21.75" thickBot="1" x14ac:dyDescent="0.4"/>
    <row r="7" spans="1:25" x14ac:dyDescent="0.35">
      <c r="G7" s="20"/>
      <c r="H7" s="20"/>
      <c r="I7" s="20"/>
      <c r="J7" s="20"/>
      <c r="K7" s="20"/>
      <c r="L7" s="20"/>
      <c r="M7" s="21"/>
      <c r="N7" s="22"/>
      <c r="O7" s="22"/>
      <c r="P7" s="22"/>
      <c r="Q7" s="22"/>
      <c r="R7" s="23"/>
      <c r="S7" s="20"/>
      <c r="T7" s="20"/>
      <c r="U7" s="20"/>
      <c r="V7" s="20"/>
      <c r="W7" s="20"/>
      <c r="X7" s="20"/>
      <c r="Y7" s="20"/>
    </row>
    <row r="8" spans="1:25" x14ac:dyDescent="0.35">
      <c r="A8" s="30"/>
      <c r="B8" s="30"/>
      <c r="C8" s="30"/>
      <c r="D8" s="30"/>
      <c r="E8" s="30"/>
      <c r="F8" s="30"/>
      <c r="M8" s="31"/>
      <c r="N8" s="32"/>
      <c r="O8" s="32"/>
      <c r="P8" s="32"/>
      <c r="Q8" s="32"/>
      <c r="R8" s="33"/>
      <c r="S8" s="30"/>
      <c r="T8" s="30"/>
      <c r="U8" s="30"/>
      <c r="V8" s="30"/>
      <c r="W8" s="30"/>
      <c r="X8" s="30"/>
      <c r="Y8" s="30"/>
    </row>
    <row r="9" spans="1:25" ht="21.75" thickBot="1" x14ac:dyDescent="0.4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34"/>
      <c r="N9" s="35"/>
      <c r="O9" s="35"/>
      <c r="P9" s="35"/>
      <c r="Q9" s="35"/>
      <c r="R9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Botón</vt:lpstr>
      <vt:lpstr>Meses SBS</vt:lpstr>
      <vt:lpstr>Variables</vt:lpstr>
      <vt:lpstr>Consolidado 1</vt:lpstr>
      <vt:lpstr>Consolidado 2</vt:lpstr>
      <vt:lpstr>Fechas</vt:lpstr>
      <vt:lpstr>Años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Tarazona Quispe</dc:creator>
  <cp:lastModifiedBy>Alvaro Cesar  Tauma Salvador</cp:lastModifiedBy>
  <dcterms:created xsi:type="dcterms:W3CDTF">2023-09-03T00:12:59Z</dcterms:created>
  <dcterms:modified xsi:type="dcterms:W3CDTF">2023-12-27T14:33:39Z</dcterms:modified>
</cp:coreProperties>
</file>